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4.xml.rels" ContentType="application/vnd.openxmlformats-package.relationships+xml"/>
  <Override PartName="/xl/drawings/_rels/drawing3.xml.rels" ContentType="application/vnd.openxmlformats-package.relationships+xml"/>
  <Override PartName="/xl/drawings/_rels/drawing2.xml.rels" ContentType="application/vnd.openxmlformats-package.relationships+xml"/>
  <Override PartName="/xl/drawings/_rels/drawing1.xml.rels" ContentType="application/vnd.openxmlformats-package.relationships+xml"/>
  <Override PartName="/xl/drawings/drawing3.xml" ContentType="application/vnd.openxmlformats-officedocument.drawing+xml"/>
  <Override PartName="/xl/drawings/drawing4.xml" ContentType="application/vnd.openxmlformats-officedocument.drawing+xml"/>
  <Override PartName="/xl/_rels/workbook.xml.rels" ContentType="application/vnd.openxmlformats-package.relationships+xml"/>
  <Override PartName="/xl/media/image1.png" ContentType="image/png"/>
  <Override PartName="/xl/media/image2.png" ContentType="image/png"/>
  <Override PartName="/xl/media/image3.png" ContentType="image/png"/>
  <Override PartName="/xl/media/image4.png" ContentType="image/png"/>
  <Override PartName="/xl/media/image5.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hile" sheetId="1" state="visible" r:id="rId3"/>
    <sheet name="Argentina" sheetId="2" state="visible" r:id="rId4"/>
    <sheet name="Colombia" sheetId="3" state="visible" r:id="rId5"/>
    <sheet name="Perú" sheetId="4" state="visible" r:id="rId6"/>
    <sheet name="Urugua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<sst xmlns="http://schemas.openxmlformats.org/spreadsheetml/2006/main" count="835" uniqueCount="507">
  <si>
    <t xml:space="preserve">Overview</t>
  </si>
  <si>
    <t xml:space="preserve">In Chile's energy structure, non-conventional renewables account for approximately 40%, with solar photovoltaics leading at ~24%, followed by wind at ~13% and small hydro and biomass making up the remainder; conventional hydropower contributes ~21%, while thermal generation (natural gas and coal) covers the remaining ~35%. Mining and industrial electricity consumption dominates demand, particularly in the northern regions of Atacama and Antofagasta, driven by large-scale copper mining operations, while residential and commercial consumption is concentrated in the central zone around Santiago. The rapid expansion of solar capacity in the north, combined with structural transmission constraints toward the central-south grid, has generated significant renewable energy curtailment and positioned Chile as Latin America's leading market for utility-scale battery energy storage systems (BESS).</t>
  </si>
  <si>
    <t xml:space="preserve">GENERATION CLIENTS</t>
  </si>
  <si>
    <t xml:space="preserve">SCALE</t>
  </si>
  <si>
    <t xml:space="preserve">Generation installed capacity (2025) [MW]</t>
  </si>
  <si>
    <t xml:space="preserve">BESS capacity (2025) [MW]</t>
  </si>
  <si>
    <t xml:space="preserve">ESTIMATED BESS CAPACITY UNDER CONSTRUCTION (2025) [MW]</t>
  </si>
  <si>
    <t xml:space="preserve">ENEL</t>
  </si>
  <si>
    <t xml:space="preserve">GENERATION AND DISTRIBUTION OF ELECTRICITY</t>
  </si>
  <si>
    <t xml:space="preserve">UTILITY SCALE</t>
  </si>
  <si>
    <t xml:space="preserve">AES GENER</t>
  </si>
  <si>
    <t xml:space="preserve">ENGIE</t>
  </si>
  <si>
    <t xml:space="preserve">COLBUN</t>
  </si>
  <si>
    <t xml:space="preserve">COMERCIAL CLIENTS</t>
  </si>
  <si>
    <t xml:space="preserve">BESS ADQUIRED [MWh]</t>
  </si>
  <si>
    <t xml:space="preserve">Brand</t>
  </si>
  <si>
    <t xml:space="preserve">PROJECT</t>
  </si>
  <si>
    <t xml:space="preserve">STATE GRID</t>
  </si>
  <si>
    <t xml:space="preserve">ELECTRICITY TRANSMITION</t>
  </si>
  <si>
    <t xml:space="preserve">UTILITY SCALE / COMMERCIAL SCALE</t>
  </si>
  <si>
    <t xml:space="preserve">CODELCO</t>
  </si>
  <si>
    <t xml:space="preserve">MINING IN COPPER</t>
  </si>
  <si>
    <t xml:space="preserve">DUNE PLUS</t>
  </si>
  <si>
    <t xml:space="preserve">BHP</t>
  </si>
  <si>
    <t xml:space="preserve">ANTOFAGASTA MINERALS</t>
  </si>
  <si>
    <t xml:space="preserve">ANGLO AMERICAN</t>
  </si>
  <si>
    <t xml:space="preserve">DOÑA INES DE COLLAHUASI</t>
  </si>
  <si>
    <t xml:space="preserve">SQM</t>
  </si>
  <si>
    <t xml:space="preserve">MINING IN LITHIUM</t>
  </si>
  <si>
    <t xml:space="preserve">ALBEMARLE</t>
  </si>
  <si>
    <t xml:space="preserve">COPEC</t>
  </si>
  <si>
    <t xml:space="preserve">OIL AND GASOLINE DISTRIBUTION COMPANY</t>
  </si>
  <si>
    <t xml:space="preserve">COMMERCIAL SCALE</t>
  </si>
  <si>
    <t xml:space="preserve">TESLA</t>
  </si>
  <si>
    <t xml:space="preserve">COUSIÑO</t>
  </si>
  <si>
    <t xml:space="preserve">ARAMCO</t>
  </si>
  <si>
    <t xml:space="preserve">PORT OF SAN ANTONIO</t>
  </si>
  <si>
    <t xml:space="preserve">PORT</t>
  </si>
  <si>
    <t xml:space="preserve">PORT OF  VALPARAÍSO</t>
  </si>
  <si>
    <t xml:space="preserve">PORT OF IQUIQUE</t>
  </si>
  <si>
    <t xml:space="preserve">PORT OF PUNTA ARENAS</t>
  </si>
  <si>
    <t xml:space="preserve">MOVISTAR</t>
  </si>
  <si>
    <t xml:space="preserve">TELECOMUNICATION COMPANY / DATA CENTER</t>
  </si>
  <si>
    <t xml:space="preserve">ENTEL</t>
  </si>
  <si>
    <t xml:space="preserve">CLARO</t>
  </si>
  <si>
    <t xml:space="preserve">WOM</t>
  </si>
  <si>
    <t xml:space="preserve">CMPC</t>
  </si>
  <si>
    <t xml:space="preserve">TIMBER COMPANY</t>
  </si>
  <si>
    <t xml:space="preserve">PUBLIC HEALTH NETWORK</t>
  </si>
  <si>
    <t xml:space="preserve">HOSPITALS</t>
  </si>
  <si>
    <t xml:space="preserve">PRIVATE CLINICS</t>
  </si>
  <si>
    <t xml:space="preserve">CANAL 13</t>
  </si>
  <si>
    <t xml:space="preserve">TELEVISION CHANNEL</t>
  </si>
  <si>
    <t xml:space="preserve">MEGAVISION</t>
  </si>
  <si>
    <t xml:space="preserve">CHILEVISION</t>
  </si>
  <si>
    <t xml:space="preserve">CENCOSUD</t>
  </si>
  <si>
    <t xml:space="preserve">RETAIL</t>
  </si>
  <si>
    <t xml:space="preserve">FALABELLA</t>
  </si>
  <si>
    <t xml:space="preserve">RIPLEY</t>
  </si>
  <si>
    <t xml:space="preserve">AMB AIRPORT SANTIAGO</t>
  </si>
  <si>
    <t xml:space="preserve">AIRPORT</t>
  </si>
  <si>
    <t xml:space="preserve">GOVERMENT INSTITUTIONS</t>
  </si>
  <si>
    <t xml:space="preserve">Ministerio de Energía</t>
  </si>
  <si>
    <t xml:space="preserve">Highest executive authority for setting national energy policy, strategic planning, and issuing decrees that regulate generation, transmission, distribution, and storage.</t>
  </si>
  <si>
    <t xml:space="preserve">CNE — Comisión Nacional de Energía</t>
  </si>
  <si>
    <t xml:space="preserve">Technical advisory body responsible for elaborating regulatory norms, calculating regulated prices (node prices) semi-annually, and defining methodologies for ancillary services and storage.</t>
  </si>
  <si>
    <t xml:space="preserve">CEN — Coordinador Eléctrico Nacional</t>
  </si>
  <si>
    <t xml:space="preserve">Independent system operator responsible for real-time dispatch coordination, marginal cost calculation, economic settlements between generators, and approval of grid access for new projects including BESS.</t>
  </si>
  <si>
    <t xml:space="preserve">SEC — Superintendencia de Electricidad y Combustibles</t>
  </si>
  <si>
    <t xml:space="preserve">Regulatory and supervisory authority that enforces compliance with electricity law, grants concessions, and authorizes the physical connection of generation and storage facilities to the grid.</t>
  </si>
  <si>
    <t xml:space="preserve">Panel de Expertos</t>
  </si>
  <si>
    <t xml:space="preserve">Independent collegiate body that issues binding rulings on disputes between companies and regulators over technical and tariff matters, including transmission tolls and ancillary service costs.</t>
  </si>
  <si>
    <t xml:space="preserve">Ministerio del Medio Ambiente / SEA</t>
  </si>
  <si>
    <t xml:space="preserve">Administers the Environmental Impact Assessment System (SEIA), through which all generation and storage projects above defined thresholds must obtain an Environmental Qualification Resolution (RCA) before construction.</t>
  </si>
  <si>
    <t xml:space="preserve">REGULATION INVOLVED</t>
  </si>
  <si>
    <t xml:space="preserve">Type</t>
  </si>
  <si>
    <t xml:space="preserve">DESCRIPTION</t>
  </si>
  <si>
    <t xml:space="preserve">Main points</t>
  </si>
  <si>
    <t xml:space="preserve">Ley General de Servicios Eléctricos (LGSE)</t>
  </si>
  <si>
    <t xml:space="preserve">Market regulation</t>
  </si>
  <si>
    <t xml:space="preserve">Sets the rules for generation, transmission, and distribution. Originally written without storage in mind, later laws amend it.</t>
  </si>
  <si>
    <t xml:space="preserve">*Three separate sectors: generation, transmission, distribution
*Generation operates under free competition; transmission and distribution are regulated monopolies
*All subsequent storage regulations are amendments to this law</t>
  </si>
  <si>
    <t xml:space="preserve">Ley N°20.936</t>
  </si>
  <si>
    <t xml:space="preserve">First law to officially acknowledge that storage systems exist. Defines SAE (Energy Storage System) and CRCA (Renewable central with storage capacity) </t>
  </si>
  <si>
    <t xml:space="preserve">*Introduces SAE and CRCA as legal categories
*Storage recognized as part of the system, but no payment mechanism defined
*Creates Coordinador eléctrico Nacional</t>
  </si>
  <si>
    <t xml:space="preserve">Ley N°21.505</t>
  </si>
  <si>
    <t xml:space="preserve">Allows standalone battery systems (SAE) to sell energy and earn capacity payments in the wholesale market for the first time. Also covers EV incentives.</t>
  </si>
  <si>
    <t xml:space="preserve">*SAE stand-alone systems can sell energy in the spot market
*SAE explicitly included in the capacity payment (potencia de suficiencia) market
*Enables storage to provide ancillary services (regulation still pending)
*Streamlines grid connection process for storage projects</t>
  </si>
  <si>
    <t xml:space="preserve">DS N°62</t>
  </si>
  <si>
    <t xml:space="preserve">Governs capacity payments (reliability payments) for all generators</t>
  </si>
  <si>
    <t xml:space="preserve">*Capacity payments based on reliability contribution at peak demand
*Benchmark technology: diesel, all payments reference its cost</t>
  </si>
  <si>
    <t xml:space="preserve">DS N°70</t>
  </si>
  <si>
    <t xml:space="preserve">Modifies DS 62 and DS 125, so that standalone batteries can actually receive capacity payments. Introduces a formula: the longer a battery can discharge, the higher its capacity credit (valid for 10 years)</t>
  </si>
  <si>
    <t xml:space="preserve">*Duration-based recognition table applies to both SAE and CRCA
*Does not modify rules for standalone solar or wind</t>
  </si>
  <si>
    <t xml:space="preserve">Ley N°21.721</t>
  </si>
  <si>
    <t xml:space="preserve">Transmission</t>
  </si>
  <si>
    <t xml:space="preserve">Targets transmission bottlenecks that block renewable energy from reaching the grid. Indirectly benefits storage projects, since grid congestion is one of the main problems BESS helps solve</t>
  </si>
  <si>
    <t xml:space="preserve">*Accelerates permitting and planning for new transmission lines
*Addresses renewable curtailment caused by congested transmission corridors
*Creates a more favorable grid environment for BESS providing congestion relief services
*Strategic complement to Law 21.505: transmission enables storage to be more economically viable</t>
  </si>
  <si>
    <t xml:space="preserve">DS N°125</t>
  </si>
  <si>
    <t xml:space="preserve">SAE can provide Complementary Services</t>
  </si>
  <si>
    <t xml:space="preserve">*Enables BESS to formally provide and be paid for ancillary services
*Modernizes dispatch procedures for storage
*Most critical near-term update for BESS profitability</t>
  </si>
  <si>
    <t xml:space="preserve">DS N°37</t>
  </si>
  <si>
    <t xml:space="preserve">Regulates planning, construction and operation of Chile's transmission system. Connects SAE to transmission planning </t>
  </si>
  <si>
    <t xml:space="preserve">*Allows CEN to formally co-optimize storage and transmission — a BESS can substitute a transmission expansion if economically equivalent
*Enables BESS to be recognized as transmission infrastructure in specific grid contexts (congestion, black start, voltage support)
</t>
  </si>
  <si>
    <t xml:space="preserve">MINVU 522</t>
  </si>
  <si>
    <t xml:space="preserve">Urban planing</t>
  </si>
  <si>
    <t xml:space="preserve">Urban regulation that applies to storage systems (BESS in particular)</t>
  </si>
  <si>
    <t xml:space="preserve">*Classifies standalone BESS as "Energy Infrastructure" (Art. 2.1.29 OGUC)
*Requires building permit — not a concession
*No SEREMI Health qualification required
</t>
  </si>
  <si>
    <t xml:space="preserve">Ley N°20.920 (REP)</t>
  </si>
  <si>
    <t xml:space="preserve">Extended producer responsibility</t>
  </si>
  <si>
    <t xml:space="preserve">Framework law making producers and importers responsible for financing collection and recycling of priority products, including batteries.</t>
  </si>
  <si>
    <t xml:space="preserve">*Batteries (including industrial BESS systems) listed as priority products due to toxicity and recyclability potential
*Producers and importers responsible for the full product lifecycle
*Applies to batteries ≥5 kg (distinguishes them from small household batteries)
*Enforced by the Superintendence of the Environment (SMA)</t>
  </si>
  <si>
    <t xml:space="preserve">DS 88 </t>
  </si>
  <si>
    <t xml:space="preserve">Updates the small distributed generation (PMGD) regime to allow BESS systems under 9 MW to use available grid capacity margin for charging.</t>
  </si>
  <si>
    <t xml:space="preserve">*Covers distributed storage systems up to 9 MW on the distribution network
*Opens a new revenue pathway for commercial and industrial BESS
</t>
  </si>
  <si>
    <t xml:space="preserve">NTSyCS</t>
  </si>
  <si>
    <t xml:space="preserve">Safety</t>
  </si>
  <si>
    <t xml:space="preserve">Sets safety and quality requirements for all SEN installations, including BESS.</t>
  </si>
  <si>
    <t xml:space="preserve">*Covers protection schemes, disconnection requirements, and communications for SAE
</t>
  </si>
  <si>
    <t xml:space="preserve">REx CNE N°41-2025</t>
  </si>
  <si>
    <t xml:space="preserve">First regulation establishing specific seismic design requirements for BESS and high-voltage electrical installations.</t>
  </si>
  <si>
    <t xml:space="preserve">*Applies to BESS, transmission systems, and compensation equipment
*Requires design for the most unfavorable seismic zone in Chile
*References NCh 2369:2023 and IEEE 693:2018 international standards
*Mandatory for permitting and engineering of new BESS projects</t>
  </si>
  <si>
    <t xml:space="preserve">DS 125</t>
  </si>
  <si>
    <t xml:space="preserve">Updates economic dispatch rules to explicitly include BESS in real-time coordination and price formation.</t>
  </si>
  <si>
    <t xml:space="preserve">*Modernizes price formation and operational procedures for storage dispatch
*Most critical near-term update for BESS operational profitability
*Public consultation completed; submitted to Contraloría Sep 2025</t>
  </si>
  <si>
    <t xml:space="preserve">DS N°148</t>
  </si>
  <si>
    <t xml:space="preserve">Handling, transport and disposal of hazardous waste, including lithium battery components at end of life.</t>
  </si>
  <si>
    <t xml:space="preserve">*Lithium batteries classified as hazardous waste during operation and decommissioning
*Requires transport manifests and disposal at authorized facilities
*Complementary to REP Law</t>
  </si>
  <si>
    <t xml:space="preserve">DS N°8</t>
  </si>
  <si>
    <t xml:space="preserve">Design, construction and operation of consumer electrical installations.</t>
  </si>
  <si>
    <t xml:space="preserve">RIC technical sheets</t>
  </si>
  <si>
    <t xml:space="preserve">PUBLIC POLICIES</t>
  </si>
  <si>
    <t xml:space="preserve">NAME</t>
  </si>
  <si>
    <t xml:space="preserve">National Storage Plan — Public Land</t>
  </si>
  <si>
    <t xml:space="preserve">Allows storage developers to apply for direct leases on government-owned land in northern Chile (where solar resources are highest). Streamlines site access for large BESS projects.</t>
  </si>
  <si>
    <t xml:space="preserve">* Norte Grande regions (Tarapacá, Antofagasta, Atacama) 
* Direct concession (no public tender) , faster than standard land acquisition
* Projects must connect to specific SEN substations identified in the CEN study
* Open to any developer, not exclusive to state-owned entitie</t>
  </si>
  <si>
    <t xml:space="preserve">Second Phase Energy Transition Agenda</t>
  </si>
  <si>
    <t xml:space="preserve">Government roadmap for decarbonizing the power sector. Storage is an explicit pillar, covering short-, medium- and long-term actions including regulation and site allocation.</t>
  </si>
  <si>
    <t xml:space="preserve">*BESS identified as critical for managing renewable variability and curtailment
*Short-term measures (land allocation, regulation) and long-term targets (carbon neutrality 2050)</t>
  </si>
  <si>
    <t xml:space="preserve">CEN Storage Study (2023)</t>
  </si>
  <si>
    <t xml:space="preserve">Technical study by CEN identifying how much storage Chile needs (2025–2032), where to put it, and what duration is optimal</t>
  </si>
  <si>
    <t xml:space="preserve">*Optimal BESS capacity for Chile between 1000-4000 MW (2026-2032)
*Optimal discharge duration 6-8h
*Optimal daily energy storage 13,2 GWh</t>
  </si>
  <si>
    <t xml:space="preserve">COMPETITORS</t>
  </si>
  <si>
    <t xml:space="preserve">COMPANY</t>
  </si>
  <si>
    <t xml:space="preserve">MAIN CLIENT</t>
  </si>
  <si>
    <t xml:space="preserve">MAIN PROJECT</t>
  </si>
  <si>
    <t xml:space="preserve">FLUENCE</t>
  </si>
  <si>
    <t xml:space="preserve">AES </t>
  </si>
  <si>
    <t xml:space="preserve">Virtual Reservoir II</t>
  </si>
  <si>
    <t xml:space="preserve">CATL</t>
  </si>
  <si>
    <t xml:space="preserve">GREENERGY</t>
  </si>
  <si>
    <t xml:space="preserve">OASIS DE ATACAMA</t>
  </si>
  <si>
    <t xml:space="preserve">CELDA SOLAR</t>
  </si>
  <si>
    <t xml:space="preserve">SUNGROW</t>
  </si>
  <si>
    <t xml:space="preserve">PLANTA SOLAR COYA</t>
  </si>
  <si>
    <t xml:space="preserve">BESS IN CHILE</t>
  </si>
  <si>
    <t xml:space="preserve">Operational capacity [MW]</t>
  </si>
  <si>
    <t xml:space="preserve">Test stage [MW]</t>
  </si>
  <si>
    <t xml:space="preserve">Construction [MW]</t>
  </si>
  <si>
    <t xml:space="preserve">Incentives</t>
  </si>
  <si>
    <t xml:space="preserve">Description</t>
  </si>
  <si>
    <t xml:space="preserve">Discharge duration </t>
  </si>
  <si>
    <t xml:space="preserve">Incentive for discharge duration in peak hours. More hours = more %</t>
  </si>
  <si>
    <t xml:space="preserve">Complementary services</t>
  </si>
  <si>
    <t xml:space="preserve">Incentive for system stabilization</t>
  </si>
  <si>
    <t xml:space="preserve">Spot Price</t>
  </si>
  <si>
    <t xml:space="preserve">Incentive for MWh injected into the system. Peak hours=&gt;Higher incomes</t>
  </si>
  <si>
    <t xml:space="preserve">Energy contracts</t>
  </si>
  <si>
    <t xml:space="preserve">Fixed Price</t>
  </si>
  <si>
    <t xml:space="preserve">Storage hours</t>
  </si>
  <si>
    <t xml:space="preserve">Income %</t>
  </si>
  <si>
    <t xml:space="preserve">&lt;1</t>
  </si>
  <si>
    <t xml:space="preserve">&gt;=5</t>
  </si>
  <si>
    <t xml:space="preserve">Velocidad de respuesta →</t>
  </si>
  <si>
    <t xml:space="preserve">Requirement</t>
  </si>
  <si>
    <t xml:space="preserve">Primary frequency responce (CPF)</t>
  </si>
  <si>
    <t xml:space="preserve">nitial delay &lt; 2 seconds from frequency detection to start of action. Settling time ≤ 30 seconds. Droop (estatismo) adjustable with range up to 55% of available active power per Hz deviation from 50.2 Hz. Must work in charge, discharge, and direct generation modes</t>
  </si>
  <si>
    <t xml:space="preserve">← 500 ms    30 s      15 min      horas →</t>
  </si>
  <si>
    <t xml:space="preserve">AGC integration</t>
  </si>
  <si>
    <t xml:space="preserve">Inverter + PPC must accept remote setpoints from CEN AGC system with delay &lt; 20 seconds. Must transmit all telemetered signals defined in the CEN AGC Annex. Modulation steps compatible with 4-second CEN control cycle.</t>
  </si>
  <si>
    <t xml:space="preserve">Reactive power control (Q)</t>
  </si>
  <si>
    <t xml:space="preserve">Must inject or absorb reactive power continuously at the grid connection point. Asymmetric PQ capability acceptable. Verified via ±3% voltage step and ±10% Pn reactive power step tests. Must maximize Q range beyond theoretical PQ diagram if technically feasible.</t>
  </si>
  <si>
    <t xml:space="preserve">[  IR  ] [  CPF  ] [  AGC  ] [ Reserva ] [ Redespacho ]</t>
  </si>
  <si>
    <t xml:space="preserve">Fault ride-through (FRT)</t>
  </si>
  <si>
    <t xml:space="preserve"> Must remain connected during voltage excursions per NTSyCS Art. 3-8. Low voltage ride-through (LVRT) mandatory. NREL G-PST study (2024) recommends Chile adopt IEEE 2800-2022 LVRT requirements as next update — manufacturers should anticipate this.</t>
  </si>
  <si>
    <t xml:space="preserve">   ↑          ↑         ↑          ↑</t>
  </si>
  <si>
    <t xml:space="preserve">Grid-forming (GFM) capability</t>
  </si>
  <si>
    <t xml:space="preserve">Not yet mandatory but explicitly referenced in REx CNE 45-2026 (March 2026). Chile grid code update to incorporate GFM requirements is underway — NREL G-PST study was the technical basis. First-mover manufacturers offering certified GFM capability will win preferred status in future SSCC auctions.</t>
  </si>
  <si>
    <t xml:space="preserve">  Nuevo    Primario  Secundario  Terciario</t>
  </si>
  <si>
    <t xml:space="preserve">Asymmetric band operation</t>
  </si>
  <si>
    <t xml:space="preserve">Inverter must support asymmetric regulation bands for CPF — underfrequency reserve can differ from overfrequency reserve. This allows the EMS to optimize the band based on real-time SoC, maximizing SSCC revenue. Must be configurable via PPC without firmware changes.</t>
  </si>
  <si>
    <t xml:space="preserve">  (GFM)   (GFL/GFM) (GFL/GFM)  (todos)</t>
  </si>
  <si>
    <t xml:space="preserve">[    CRaF+/−    ] ← cubre la ventana solar, paralelo a primario/secundario</t>
  </si>
  <si>
    <t xml:space="preserve">[ Voltage Robustness ] ← paralelo a todos, dominio reactivo</t>
  </si>
  <si>
    <t xml:space="preserve">[ Black Start ] ← servicio de restauración, fuera de la escala temporal normal</t>
  </si>
  <si>
    <t xml:space="preserve">CMg PRICES (Quillota-Cardones, P.Azucar, P.Montt)</t>
  </si>
  <si>
    <t xml:space="preserve">Summer</t>
  </si>
  <si>
    <t xml:space="preserve">Fall</t>
  </si>
  <si>
    <t xml:space="preserve">Winter</t>
  </si>
  <si>
    <t xml:space="preserve">Spring</t>
  </si>
  <si>
    <t xml:space="preserve">Min CMg [USD/MWh]</t>
  </si>
  <si>
    <t xml:space="preserve">Max CMg [USD/MWh]</t>
  </si>
  <si>
    <t xml:space="preserve">CMg Prom [USD/MWh]</t>
  </si>
  <si>
    <t xml:space="preserve">BESS PROJECTS</t>
  </si>
  <si>
    <t xml:space="preserve">COMPANY </t>
  </si>
  <si>
    <t xml:space="preserve">STATUS</t>
  </si>
  <si>
    <t xml:space="preserve">CAPACITY (MW)</t>
  </si>
  <si>
    <t xml:space="preserve">BESS del Desierto</t>
  </si>
  <si>
    <t xml:space="preserve">Atlas Renewable Energy</t>
  </si>
  <si>
    <t xml:space="preserve">OPERATIONAL</t>
  </si>
  <si>
    <t xml:space="preserve">Dune Plus</t>
  </si>
  <si>
    <t xml:space="preserve">Generadora Metropolitana</t>
  </si>
  <si>
    <t xml:space="preserve">BUILDING</t>
  </si>
  <si>
    <t xml:space="preserve">BESS Lile</t>
  </si>
  <si>
    <t xml:space="preserve">Engie</t>
  </si>
  <si>
    <t xml:space="preserve">BESS Coya</t>
  </si>
  <si>
    <t xml:space="preserve">BESS Tocopilla</t>
  </si>
  <si>
    <t xml:space="preserve">In Argentina's energy structure, thermal generation dominates at approximately 52%, fuelled primarily by natural gas from the Vaca Muerta basin; conventional hydropower contributes around 23%, while nuclear — one of the largest fleets in Latin America — accounts for roughly 7%. Non-conventional renewables represent approximately 18–20% of the matrix, led by wind at ~12% and solar photovoltaics at ~5%, with biomass and small hydro making up the remainder. Electricity demand is concentrated in the Buenos Aires Metropolitan Area (AMBA), which accounts for over 40% of national consumption and is served by the two federal distribution concessionaires, EDENOR and EDESUR; industrial and agro-industrial demand is distributed across the interior provinces, with the energy-intensive lithium and copper mining sectors emerging as a fast-growing load centre in the Puna region of Catamarca, Jujuy and Salta. Unlike Chile — where the primary BESS driver is renewable curtailment caused by solar overproduction in the north — Argentina's storage imperative is rooted in systemic reliability: decades of underinvestment have left the transmission network and distribution infrastructure severely deteriorated, generating recurrent blackouts during summer demand peaks and limiting the evacuation of renewable generation from the interior toward the main consumption centres. This structural context, combined with a rapid expansion of wind and solar capacity that is increasingly straining a grid without adequate storage or transmission capacity, has positioned Argentina as Latin America's fastest-emerging BESS market, with over 1,400 MW tendered through the AlmaGBA and AlmaSADI programs between February 2025 and March 2026.</t>
  </si>
  <si>
    <t xml:space="preserve">Generation installed capacity (Last Available Data) [MW]</t>
  </si>
  <si>
    <t xml:space="preserve">BESS capacity (Last Available Data) [MW]</t>
  </si>
  <si>
    <t xml:space="preserve">ESTIMATED BESS CAPACITY UNDER CONSTRUCTION (Last Available Data) [MW]</t>
  </si>
  <si>
    <t xml:space="preserve">GENERATION </t>
  </si>
  <si>
    <t xml:space="preserve">AES ARGENTINA</t>
  </si>
  <si>
    <t xml:space="preserve">PAMPA ENERGÍA</t>
  </si>
  <si>
    <t xml:space="preserve">CENTRAL PUERTO</t>
  </si>
  <si>
    <t xml:space="preserve">YPF LUZ</t>
  </si>
  <si>
    <t xml:space="preserve">GENNEIA</t>
  </si>
  <si>
    <t xml:space="preserve">NA-SA</t>
  </si>
  <si>
    <t xml:space="preserve">MSU GREEN ENERGY</t>
  </si>
  <si>
    <t xml:space="preserve">BARRIK GOLD</t>
  </si>
  <si>
    <t xml:space="preserve">MINNING COMPANY</t>
  </si>
  <si>
    <t xml:space="preserve">GLENCORE</t>
  </si>
  <si>
    <t xml:space="preserve">YAMANA GOLD</t>
  </si>
  <si>
    <t xml:space="preserve">YPF</t>
  </si>
  <si>
    <t xml:space="preserve">OIL COMPANY</t>
  </si>
  <si>
    <t xml:space="preserve">PANAMERICAN ENERGY</t>
  </si>
  <si>
    <t xml:space="preserve">TECPETROL</t>
  </si>
  <si>
    <t xml:space="preserve">PUERTO DE BUENOS AIRES</t>
  </si>
  <si>
    <t xml:space="preserve">PUERTO DE ROSARIO</t>
  </si>
  <si>
    <t xml:space="preserve">EZEIZA AIRPORT BUENOS AIRES</t>
  </si>
  <si>
    <t xml:space="preserve">TELECOM</t>
  </si>
  <si>
    <t xml:space="preserve">Available power</t>
  </si>
  <si>
    <t xml:space="preserve">Payment for keeping the BESS ready to dispatch when called by CAMMESA, regardless of actual energy injected.</t>
  </si>
  <si>
    <t xml:space="preserve">Injected energy</t>
  </si>
  <si>
    <t xml:space="preserve">USD 10/MWh fixed price for energy injected. Fixed until 2037, then, spot price (like Chile)</t>
  </si>
  <si>
    <t xml:space="preserve">Incentive for preventive maintainance</t>
  </si>
  <si>
    <t xml:space="preserve">Penalty for not being available to input energy</t>
  </si>
  <si>
    <t xml:space="preserve">Location</t>
  </si>
  <si>
    <t xml:space="preserve">Regional capacity quotas defined per zone. Projects in critical nodes may capture higher adjudication value during the bidding process</t>
  </si>
  <si>
    <t xml:space="preserve">Bilateral contracts via MATER mechanism. Big users (&gt;300 kW) must source 20% of energy from renewables (Law 27.191) — hybrid BESS projects add firmness to renewable PPAs.</t>
  </si>
  <si>
    <t xml:space="preserve">Secretaría de Energía (SE)
Ministry of Economy </t>
  </si>
  <si>
    <t xml:space="preserve">The main policy authority for the electricity sector. Issues all resolutions governing the MEM, sets seasonal prices, and authorises new agents. Under the Milei government, it drives the structural reform toward a competitive market (Res. 400/2025) and directly convened AlmaGBA and AlmaSADI.</t>
  </si>
  <si>
    <t xml:space="preserve">Consejo Federal de la Energía Eléctrica (CFEE)</t>
  </si>
  <si>
    <t xml:space="preserve">Advisory council to the national and provincial governments on all matters related to the electricity industry. Represents the 23 provinces and CABA. Manages the National Electric Energy Fund (FNEE), funded by a 2% surcharge on MEM transactions, used to co-finance transmission expansion and regional electrification.</t>
  </si>
  <si>
    <t xml:space="preserve">CAMMESA
Compañía Administradora del Mercado Mayorista Eléctrico S.A.</t>
  </si>
  <si>
    <t xml:space="preserve">The central operational node of the Argentine electricity market. Created in 1992, it performs the technical and economic dispatch of the SADI, calculates spot prices, administers the forward market, and manages commercial transactions between all MEM agents. Its shareholding structure is unique: 80% owned by market agent associations (generators, transporters, distributors, large users — 20% each), and 20% by the State (SE)</t>
  </si>
  <si>
    <t xml:space="preserve">ENRE → New Unified Regulator (2025)
Ente Nacional Regulador de la Electricidad</t>
  </si>
  <si>
    <t xml:space="preserve">The ENRE is responsible for regulating and supervising generation, transmission and the federal distribution concessions (EDENOR and EDESUR). It sets tariff bases, verifies quality of service, authorises new grid access connections, and resolves disputes. Its key BESS function is authorising the grid access point for each new storage project. 
2025 structural change: Decree 452/2025 (Ley de Bases) merged ENRE and ENARGAS into a single new entity — the Ente Nacional Regulador del Gas y la Electricidad. </t>
  </si>
  <si>
    <t xml:space="preserve">EDENOR
Empresa Distribuidora y Comercializadora Norte S.A.</t>
  </si>
  <si>
    <t xml:space="preserve">The largest electricity distributor in Argentina by area served, covering the northern AMBA (Buenos Aires, GBA Norte and Oeste). Serves approximately 9 million users. Federal concession regulated by ENRE. Direct contractual buyer of 500 MW of AlmaGBA BESS capacity — the largest single BESS procurement in Argentine history.</t>
  </si>
  <si>
    <t xml:space="preserve">EDESUR
Empresa Distribuidora Sur S.A.</t>
  </si>
  <si>
    <t xml:space="preserve">The second federal distribution concessionaire, covering the southern AMBA (Buenos Aires GBA Sur). Serves approximately 6 million users. Regulated by ENRE. In AlmaGBA, it contracted 213 MW across 5 BESS projects.</t>
  </si>
  <si>
    <t xml:space="preserve">Transener</t>
  </si>
  <si>
    <t xml:space="preserve">Main high-voltage transmission company in Argentina, operating the 500 kV trunk network that connects generation centres to demand hubs across the country. Historically co-owned by ENARSA (State) and Pampa Energía. The Milei government privatised ENARSA's stake (100% of CITELEC, Transener's parent) in May 2026 </t>
  </si>
  <si>
    <t xml:space="preserve">Law N° 15.336 — Electric Energy Regime</t>
  </si>
  <si>
    <t xml:space="preserve">General framework</t>
  </si>
  <si>
    <t xml:space="preserve">Foundational law of the Argentine electricity sector. Establishes federal jurisdiction over electricity that involves inter-provincial commerce through the SADI. It is the reference norm that authorises the Secretariat of Energy to regulate the MEM and issue resolutions such as AlmaGBA and AlmaSADI.</t>
  </si>
  <si>
    <t xml:space="preserve">*Establishes federal jurisdiction over the transmission and commercialisation of electricity in the SADI.
*Authorises the Secretariat of Energy to issue operational resolutions covering all system agents.
*With Law 24.065, forms the "Electricity Regulatory Framework" — all BESS regulations are issued under the powers granted by these two laws.</t>
  </si>
  <si>
    <t xml:space="preserve">Law N° 24.065 — Electricity Regulatory Framework</t>
  </si>
  <si>
    <t xml:space="preserve">Wholesale market</t>
  </si>
  <si>
    <t xml:space="preserve">Creates the competitive wholesale market, defines the roles of generators, transporters and distributors, and mandates guaranteeing supply at the lowest possible cost. Decree 450/2025 published an updated consolidated text, restoring the marginalist principles that had been distorted since 2001. Every BESS resolution explicitly cites this law as its legal basis.</t>
  </si>
  <si>
    <t xml:space="preserve">*Defines energy policy objectives: user protection, market competitiveness, open access, private investment and efficiency.
*Defines CAMMESA's role as dispatcher and wholesale price administrator.
*Mandates supply at the minimum cost for the SADI — legal foundation for reliability-based BESS tenders.
*New Art. 9° (2025 update) requires distributors to contract at least 75% of their demand through long-term agreements.
*Authorises the Secretariat of Energy to organise generation tenders if a supply shortfall is detected — direct legal basis for AlmaGBA and AlmaSADI.</t>
  </si>
  <si>
    <t xml:space="preserve">Law N° 27.742 — Bases Law</t>
  </si>
  <si>
    <t xml:space="preserve">Private investment</t>
  </si>
  <si>
    <t xml:space="preserve">On energy matters, it delegated to the Executive the authority to update the Electricity Regulatory Framework (Laws 15.336 and 24.065) by decree. It enabled the MEM reform process that led to Decree 450/2025 and Resolution 400/2025, defining the paradigm of State withdrawal from commercial operations and the strengthening of private investmen</t>
  </si>
  <si>
    <t xml:space="preserve">Delegates to the Executive the authority to update the electricity regulatory framework — foundation of the 2024–2028 reform process.
Instructs reduction of State participation in MEM commercial operations.
Sets tariff normalisation and recovery of distributors as creditworthy agents as key objectives.</t>
  </si>
  <si>
    <t xml:space="preserve">Law N° 26.190 and Law N° 27.191 — Renewable Energy Promotion</t>
  </si>
  <si>
    <t xml:space="preserve">Renewables
Large users</t>
  </si>
  <si>
    <t xml:space="preserve">Law 26.190 declared renewable generation a matter of national interest. Law 27.191 expanded it by establishing mandatory targets: 20% renewables in electricity consumption by 31 Dec 2025, with individual compliance obligations for all consumers with demand ≥300 kW.</t>
  </si>
  <si>
    <t xml:space="preserve">*Mandates consumers with demand ≥300 kW to source 20% of their consumption from renewables — captive demand for MATER contracting.
*Enables bilateral agreements between renewable generators and large users (private contracts, without CAMMESA intermediation).
*Includes tax incentives: 15-year tax exemptions, accelerated depreciation and duty-free equipment imports.
*Creates FODER (Renewable Energy Development Fund) as a payment guarantee for tendered contracts.
*BESS relevance: hybrid projects (solar/wind + battery) access these benefits by making renewable energy firmer and more predictable.</t>
  </si>
  <si>
    <t xml:space="preserve">SE Resolution N° 36/2023 and N° 906/2023 — RenMDI / ALMA MDI</t>
  </si>
  <si>
    <t xml:space="preserve">Renewables
Hybrid BESS</t>
  </si>
  <si>
    <t xml:space="preserve">First formal opening to renewable projects with storage in Argentina. Resolution 36/2023 (RenMDI) called for projects up to 90 MW across two tracks: substitution of forced generation (with storage) and matrix diversification. Resolution 906/2023 (ALMA MDI) extended the call. A total of 633.7 MW were awarded across 98 projects, including Argentina's first hybrid BESS projects.</t>
  </si>
  <si>
    <t xml:space="preserve">*Track 1: solar/wind projects WITH storage to replace forced diesel generation at congested nodes. Project size: 3–20 MW.
*Eligible technologies include solar PV with storage and wind with storage.
*15-year PPAs with CAMMESA acting on behalf of MEM distributors and large users.
*First contractual framework requiring technical BESS data: capacity, cycles, lifetime, charge/discharge periods.
</t>
  </si>
  <si>
    <t xml:space="preserve">SE Resolution N° 67/2025 — AlmaGBA Tender</t>
  </si>
  <si>
    <t xml:space="preserve">Stand-alone BESS</t>
  </si>
  <si>
    <t xml:space="preserve"> First exclusive tender for large-scale stand-alone storage systems, with no associated generation. Objective: strengthen reliability in the Buenos Aires Metropolitan Area (AMBA) during demand peaks and reduce blackout risk. Defines the "Storage Generation Contract" model that became the market standard.</t>
  </si>
  <si>
    <t xml:space="preserve">*Target: up to 500 MW stand-alone BESS. Received 27 bids totalling 1,347 MW. Awarded 713 MW in August 2025.
*Minimum project size: 10 MW. Minimum discharge duration: 4 hours (committed storage hours, HAC). Minimum 180 charge/discharge cycles per year.
*Buyers: EDENOR and EDESUR. CAMMESA acts as last-resort payment guarantor for up to 12 consecutive months.
*Unavailability penalties: USD 350–1,500/MWh depending on system stress. Contract termination if availability falls below 50% over 6 months or 25% over 2 years.
*Cost passed through to AMBA end users via a tariff reliability charge.
*Estimated investment: Execution timeline: 12–18 months from contract signing.</t>
  </si>
  <si>
    <t xml:space="preserve">SE Resolutions N° 344, 361, 384/2025</t>
  </si>
  <si>
    <t xml:space="preserve">Series of resolutions that formalised the award of 713 MW under AlmaGBA and regulated the signing of Storage Generation Contracts. Resolution 14/2026 extended the contract-signing deadline by 60 business days following extension requests from awardees undergoing corporate restructuring (e.g. MSU Green Energy and Rowing).</t>
  </si>
  <si>
    <t xml:space="preserve">*Final award: 713 MW distributed across multiple projects in the EDENOR and EDESUR service areas.
*Capacity payment: up to USD 12,500/MW/month for available power (maximum tender price).
*Energy payment: USD 10/MWh fixed until 2037; spot market price thereafter.
*Bid bond required: USD 10,000/MW at time of submission.
</t>
  </si>
  <si>
    <t xml:space="preserve">SE Resolution N° 50/2026 — AlmaSADI Tender</t>
  </si>
  <si>
    <t xml:space="preserve">Second generation of BESS tenders, now at national scale. Expands the AlmaGBA model to the entire SADI, targeting critical nodes by region. CAMMESA acts directly as the buyer (not merely as guarantor), simplifying the contractual structure. Private sector estimates suggest bids could exceed 2,500 MW — more than three times the target.</t>
  </si>
  <si>
    <t xml:space="preserve">*Target: up to 700 MW stand-alone. Regional caps: Northeast (NEA) 250 MW, Litoral 220 MW, Buenos Aires 150 MW, Northwest (NOA) 120 MW, Centre 100 MW, Cuyo 100 MW, La Pampa 50 MW.
*10-year contracts with CAMMESA as direct buyer.
*Remuneration: capacity payment (max USD 12,500/MW/month) + USD 10/MWh for energy delivered until 2037.
*CAMMESA calculates a "comparison value" per project based on grid location and node criticality.
*Estimated investment: ~USD 700 million. Award date: 19 June 2026. Contract signing from 25 June 2026.
*Market interest: private sources estimated ~2,500 MW in bids, over 3× the target capacity.</t>
  </si>
  <si>
    <t xml:space="preserve">SE Resolution N° 400/2025 — MEM Normalisation Rules</t>
  </si>
  <si>
    <t xml:space="preserve">MEM reform</t>
  </si>
  <si>
    <t xml:space="preserve">Approves the "Rules for MEM Normalisation and Progressive Adaptation", in force from 1 November 2025. Redefines generator categories, establishes the Forward Energy and Capacity Market, and sets the foundation for BESS projects awarded after 1 January 2025 to operate as "New Generation" with greater commercial freedom.</t>
  </si>
  <si>
    <t xml:space="preserve">*Creates three categories: Assigned Generation (existing contracts), Spot Generation (no contract) and New Generation (commercial operation after 1 Jan 2025). AlmaGBA/AlmaSADI BESS qualify as New Generation.
*Establishes a Forward Energy and Capacity Market for free contracting between generators, distributors and large users.
*Introduces remunerated reliability services — a precursor framework for compensating BESS for systemic availability beyond specific contracts.
*From November 2025, spot prices are set by real supply and demand, not administered pricing — relevant for BESS energy revenues post-2037.
*CAMMESA ceases to be the primary commercial actor and returns to its dispatch administration role.</t>
  </si>
  <si>
    <t xml:space="preserve">Decree N° 450/2025 — Consolidated Text of Law 24.065</t>
  </si>
  <si>
    <t xml:space="preserve">Structural reform</t>
  </si>
  <si>
    <t xml:space="preserve">Executive decree that updated the text of Law 24.065 using the delegation granted by the Bases Law. Restored the original marginalist pricing principles and established a 24-month transition period for the Secretariat of Energy to issue the necessary regulations toward a fully competitive market. It is the enabling instrument behind Resolution 400/2025.</t>
  </si>
  <si>
    <t xml:space="preserve">*Restores marginal pricing as the basis of dispatch — from November 2025, spot prices converge toward real market signals.
*Sets a 24-month transition period (until July 2027) to implement the regulatory reforms.
*New Art. 9°: distributors must contract a minimum of 75% of their demand through long-term contracts.
E*nables bilateral energy import/export agreements between private parties — opens the door to direct BESS contracts outside the CAMMESA framework.</t>
  </si>
  <si>
    <t xml:space="preserve">AlmaGBA — SE Resolution 67/2025</t>
  </si>
  <si>
    <t xml:space="preserve">By launching the first large-scale stand-alone storage tender, the government created a guaranteed market where none existed. The fixed-price, long-term contract model (10–15 years) was designed to de-risk investment and attract international capital into an emerging market.</t>
  </si>
  <si>
    <t xml:space="preserve">*Created 713 MW of contracted demand for BESS in a single tender. 
*Established USD 12,500/MW/month as the market price benchmark. 
*Proved bankability of the Storage Generation Contract model with CAMMESA as guarantor. 
*Triggered ~USD 500M in committed private investment within 6 months of the resolution.</t>
  </si>
  <si>
    <t xml:space="preserve">AlmaSADI — SE Resolution 50/2026</t>
  </si>
  <si>
    <t xml:space="preserve">The national expansion of the AlmaGBA model. Signals that the government views storage as a structural solution to grid reliability — not a one-off procurement. By defining regional capacity caps (NEA, Litoral, Buenos Aires, NOA, Centre, Cuyo, La Pampa), it provides geographic investment signals that developers can plan around.</t>
  </si>
  <si>
    <t xml:space="preserve">*Adds up to 700 MW of national contracted demand. 
*CAMMESA acts as direct buyer (not just guarantor), strengthening bankability. 
*Private sector estimates suggest ~2,500 MW in bids, confirming policy effectively unlocked latent investment appetite. 
*Adjudication expected 19 June 2026.</t>
  </si>
  <si>
    <t xml:space="preserve">RENPALMA — National BESS Registry</t>
  </si>
  <si>
    <t xml:space="preserve">Registro Nacional de Proyectos de Almacenamiento de Energía Eléctrica (RENPALMA) requires all BESS systems connected to the SADI to register. It is the first systematic tracking instrument for the Argentine storage fleet. While primarily administrative, it is the precursor to a fully integrated storage framework in the MEM.</t>
  </si>
  <si>
    <t xml:space="preserve">*Establishes the institutional foundation for future storage regulation. 
*Once RENPALMA has sufficient data on installed capacity, dispatch patterns and availability, it becomes the basis for designing ancillary services frameworks and degradation management rules </t>
  </si>
  <si>
    <t xml:space="preserve">Decree 513/2025 — Zero import tariff on BESS equipment</t>
  </si>
  <si>
    <t xml:space="preserve">Reduced the import duty on lithium-ion battery systems to 12,6%. </t>
  </si>
  <si>
    <t xml:space="preserve">RIGI — Large Investment Incentive Regime (Law 27.742, Title VII)</t>
  </si>
  <si>
    <t xml:space="preserve">Investment incentive regime for projects above USD 200 million in strategic sectors including energy. Offers 30-year tax and regulatory stability — meaning the State cannot increase taxes or change rules affecting the project during its lifecycle. While primarily used for oil &amp; gas and mining, the energy sector is eligible and large BESS clusters or integrated renewable+storage projects above USD 200M can qualify.</t>
  </si>
  <si>
    <t xml:space="preserve">PENDIENTE — sin datos públicos confirmados</t>
  </si>
  <si>
    <t xml:space="preserve">Los adjudicatarios de AlmaGBA/AlmaSADI (Central Puerto, Genneia, MSU Green Energy, YPF Luz, Coral Energía, Aluar, Rowing, Sullair, DQD Energy, 360 Energy Solar, Intermepro) aún deben cerrar acuerdos tecnológicos con proveedores de BESS (CATL, BYD, Fluence, Sungrow, Tesla, Huawei, etc.). No se encontró ninguna asociación empresa-generadora-proyecto confirmada públicamente para Argentina al 07-08-2026.</t>
  </si>
  <si>
    <t xml:space="preserve">Fuente: iProfesional, 25-jun-2026 (revisado 07-08-2026)</t>
  </si>
  <si>
    <t xml:space="preserve">BESS San Fernando (AlmaGBA)</t>
  </si>
  <si>
    <t xml:space="preserve">Aluar</t>
  </si>
  <si>
    <t xml:space="preserve">BESS Brown (AlmaGBA)</t>
  </si>
  <si>
    <t xml:space="preserve">Rowing</t>
  </si>
  <si>
    <t xml:space="preserve">BESS Chingolo Sull (AlmaGBA)</t>
  </si>
  <si>
    <t xml:space="preserve">Sullair</t>
  </si>
  <si>
    <t xml:space="preserve">AlmaGBA — resto de adjudicatarios (9 proyectos: Central Puerto, Genneia, MSU Green Energy, YPF Luz, Coral Energía, Central Dock Sud, Eólica del Sur 3)</t>
  </si>
  <si>
    <t xml:space="preserve">Varios (AlmaGBA)</t>
  </si>
  <si>
    <t xml:space="preserve">Bragado I-II (AlmaSADI)</t>
  </si>
  <si>
    <t xml:space="preserve">Genneia</t>
  </si>
  <si>
    <t xml:space="preserve">AlmaSADI — Genneia, 6 proyectos restantes</t>
  </si>
  <si>
    <t xml:space="preserve">AlmaSADI — DQD Energy, 8 proyectos (Villa Ángela, Castelli, San Martín, La Leonesa, CD22, CD5, Charata, Presidencia Roca)</t>
  </si>
  <si>
    <t xml:space="preserve">DQD Energy</t>
  </si>
  <si>
    <t xml:space="preserve">AlmaSADI — 360 Energy Solar, 3 proyectos (Realicó II, Nonogasta Solar, Mayer)</t>
  </si>
  <si>
    <t xml:space="preserve">360 Energy Solar</t>
  </si>
  <si>
    <t xml:space="preserve">BESS Goya (AlmaSADI)</t>
  </si>
  <si>
    <t xml:space="preserve">Intermepro Generación I — Pirané (AlmaSADI)</t>
  </si>
  <si>
    <t xml:space="preserve">Intermepro</t>
  </si>
  <si>
    <t xml:space="preserve">TOTAL AlmaGBA + AlmaSADI</t>
  </si>
  <si>
    <t xml:space="preserve">Fuentes: Secretaría de Energía / CAMMESA (Res. 361/2025, Res. 155/2026 - Boletín Oficial); Energía Estratégica, BAE Negocios, Ámbito, Shale24, La Nación, Diario Río Negro, Review Energy, PV Magazine LATAM (jul-oct 2025 y jun-jul 2026). Capacidad total AlmaGBA (713 MW/12 proyectos) y AlmaSADI (700,5 MW/20 proyectos) confirmada; desglose por proyecto individual no disponible públicamente para Central Puerto, Genneia (AlmaGBA), MSU Green Energy, YPF Luz, Coral Energía, Central Dock Sud, Eólica del Sur 3, DQD Energy (por sitio), 360 Energy Solar (por sitio) — agregados por compañía donde no hay dato de proyecto individual.</t>
  </si>
  <si>
    <t xml:space="preserve">In Colombia's energy structure, hydropower dominates at approximately 59% — supplied by large Andean reservoirs including San Carlos (1,240 MW), Guavio (1,150 MW) and Sogamoso — followed by thermal generation at ~27% (gas and coal backup) and non-conventional renewables at ~14%, a share that grew from less than 2% in 2022 following the government's Plan 6GW Plus. Electricity demand is concentrated in the Bogotá, Medellín and Cali metropolitan corridors, with the Caribbean Coast — served by the financially distressed Air-e — representing the system's most structurally vulnerable distribution region. Unlike Chile, where the primary BESS driver is solar curtailment in the Atacama, or Argentina, where the imperative stems from transmission infrastructure deterioration, Colombia's storage case is rooted in hydrological risk: the country's deep dependence on reservoir hydrology makes it acutely exposed to El Niño cycles, with pool prices reaching $622 COP/kWh in March 2024 and XM projecting firm energy deficits of 2.7% in 2026 and 4.4% in 2027 — a context compounded by the fact that only 10.8% of expected 2025 new capacity actually entered operation. This urgency has driven Colombia to launch its first long-term auction with battery storage as an explicit product (Res. 40208/2026, April 2026), covering a solar+BESS hybrid targeting the 17:00–21:00h evening peak and a standalone BESS product, both under 15-year contracts with obligations from January 2030 and adjudication scheduled for July 23–24 at the Bolsa Mercantil de Colombia.</t>
  </si>
  <si>
    <t xml:space="preserve">ENEL-CODENSA</t>
  </si>
  <si>
    <t xml:space="preserve">AES COLOMBIA</t>
  </si>
  <si>
    <t xml:space="preserve">COLBUN COLOMBIA</t>
  </si>
  <si>
    <t xml:space="preserve">EPM</t>
  </si>
  <si>
    <t xml:space="preserve">ISAGEN</t>
  </si>
  <si>
    <t xml:space="preserve">CELSIA</t>
  </si>
  <si>
    <t xml:space="preserve">CERREJON</t>
  </si>
  <si>
    <t xml:space="preserve">ANGLO GOLD ASHANTI</t>
  </si>
  <si>
    <t xml:space="preserve">DRUMMOND</t>
  </si>
  <si>
    <t xml:space="preserve">ECOPETROL</t>
  </si>
  <si>
    <t xml:space="preserve">PACIFIC RUBIALES ENERGY</t>
  </si>
  <si>
    <t xml:space="preserve">GENERATION</t>
  </si>
  <si>
    <t xml:space="preserve">CARTAGENA PORT</t>
  </si>
  <si>
    <t xml:space="preserve">BUENAVENTURA PORT</t>
  </si>
  <si>
    <t xml:space="preserve">TIGO</t>
  </si>
  <si>
    <t xml:space="preserve">Subasta Colombia BESS Overview
This project is framed within Colombia's Long-Term Electricity Contracting Auction (Subasta de Contratación de Energía Eléctrica a Largo Plazo — CLPE 2026), a mechanism established under Law 1715/2014 and its amendments, convened by the Ministry of Mines and Energy (MME) and operated by the Bolsa Mercantil de Colombia (BMC). The CLPE assigns 15-year energy supply contracts through competitive auction, targeting new FNCER (non-conventional renewable energy) capacity. The 2026 edition introduces Product 3 specifically for hybrid FNCER+SAEB (energy storage) plants, requiring bidders to commit to both a daytime block (08:00–18:00, served by PV) and a 4-hour night block (18:00–22:00, served by the BESS) under a 70/30 day/night split. This is the first Colombian auction that formally integrates storage as a mandatory component of the generation offer, making it a landmark regulatory milestone for BESS deployment in the country. Auction execution: 30 July 2026. Payment for delivered MWh, not for installed capacity</t>
  </si>
  <si>
    <t xml:space="preserve">Cargo por confiabilidad (OEF)</t>
  </si>
  <si>
    <t xml:space="preserve">Precio de escasez (PE)</t>
  </si>
  <si>
    <t xml:space="preserve">Caontratos bilaterales (PPA/SICEP)</t>
  </si>
  <si>
    <t xml:space="preserve">Servicios Complementarios (SSCC)</t>
  </si>
  <si>
    <t xml:space="preserve">Respuesta de la demanda (RD)</t>
  </si>
  <si>
    <t xml:space="preserve">MinMinas y Energía</t>
  </si>
  <si>
    <t xml:space="preserve">Defines national energy policy and sets strategic targets (Plan 6GW+)
Issues decrees enabling new market mechanisms (Decree 1091/2025)
Convenes Long Term auctions (Res. 40208/2026)</t>
  </si>
  <si>
    <t xml:space="preserve">CREG</t>
  </si>
  <si>
    <t xml:space="preserve">Regulates MEM: pool prices, OEF, SSCC, grid access
Sets scarcity price (monthly update)
Enables new technologies (Res. CREG 098/2019 → Draft 701-103/2025)
12-month BESS remuneration deadline per Decree 1091/2025</t>
  </si>
  <si>
    <t xml:space="preserve">UPME</t>
  </si>
  <si>
    <t xml:space="preserve">National energy planning (PEN 2024–2054)
Approves FNCER and BESS project connections
Pipeline: &gt;13.5 GW solar + 2.8 GW wind approved (to 2033)
Administers large-scale storage tenders</t>
  </si>
  <si>
    <t xml:space="preserve">XM (ISA)</t>
  </si>
  <si>
    <t xml:space="preserve">SIN Operator (CND): real-time dispatch
MEM Administrator (ASIC): settlement and compensation
Runs OEF auctions; publishes deficit projections
Technical counterpart for all MEM agents</t>
  </si>
  <si>
    <t xml:space="preserve">ANLA / SSPD</t>
  </si>
  <si>
    <t xml:space="preserve">ANLA: National Environmental Licensing Authority. Environmental permits for all generation and transmission projects. Key bottleneck in pipeline execution.
SSPD: Supervises utilities; can intervene operators (e.g. Air-e $2.1T COP debt).</t>
  </si>
  <si>
    <t xml:space="preserve">BMC (Bolsa Mercantil)
</t>
  </si>
  <si>
    <t xml:space="preserve">Designated LP auction operator for 2026 tender
Manages platform, pre-qualification, bid receipt, adjudication
Executes contract signing and guarantee management
Publishes official results (Jul 23–24, 2026)</t>
  </si>
  <si>
    <t xml:space="preserve">BESS RELEVANCE</t>
  </si>
  <si>
    <t xml:space="preserve">Law 143/1994</t>
  </si>
  <si>
    <t xml:space="preserve">Sector legal framework. Creates CREG. Establishes generation, transmission, distribution and retail as regulated activities. Introduces competitive pool model.</t>
  </si>
  <si>
    <t xml:space="preserve">Foundation of market model</t>
  </si>
  <si>
    <t xml:space="preserve">Law 1715/2014</t>
  </si>
  <si>
    <t xml:space="preserve">FNCER framework: fiscal incentives for solar, wind, biomass, small hydro. 50% income tax deduction, VAT exemption, zero tariff on imports, accelerated depreciation (33%/year). Amended by Law 2099/2021.</t>
  </si>
  <si>
    <t xml:space="preserve">Applies to BESS coupled to FNCER; standalone BESS under review</t>
  </si>
  <si>
    <t xml:space="preserve">Law 2099/2021 (Energy Transition Law)</t>
  </si>
  <si>
    <t xml:space="preserve">Extends Law 1715 incentives to all energy projects. First explicit legal recognition of energy storage in SIN planning. Enables energy communities.</t>
  </si>
  <si>
    <t xml:space="preserve">Legal basis for storage in national planning</t>
  </si>
  <si>
    <t xml:space="preserve">Res. CREG 071/2006</t>
  </si>
  <si>
    <t xml:space="preserve">Reliability Obligation (OEF) regulation. Defines OEF, scarcity price, critical conditions trigger. Progressively amended; latest: Res. 101 066/2024.</t>
  </si>
  <si>
    <t xml:space="preserve">Capacity adequacy framework — potential BESS pathway</t>
  </si>
  <si>
    <t xml:space="preserve">Res. CREG 098/2019</t>
  </si>
  <si>
    <t xml:space="preserve">First formal regulatory recognition of storage in the SIN. Enabled BESS pilot projects. Direct antecedent of current framework.</t>
  </si>
  <si>
    <t xml:space="preserve">Origin of Colombian BESS regulation</t>
  </si>
  <si>
    <t xml:space="preserve">Res. CREG 101 066/2024 </t>
  </si>
  <si>
    <t xml:space="preserve"> Differentiates scarcity prices by plant type: high for gas/ACPM thermal; lower for solar/renewables ($359 COP/kWh for new OEF). Sets a second-level price cap on pool prices.</t>
  </si>
  <si>
    <t xml:space="preserve">Affects BESS competitiveness for Reliability Obligation</t>
  </si>
  <si>
    <t xml:space="preserve">Decree 1091/2025</t>
  </si>
  <si>
    <t xml:space="preserve"> Policy directives for Long Term contracting of generation and storage. Backstop if CREG delays. CREG has 12-month deadline to define BESS remuneration methodology.</t>
  </si>
  <si>
    <t xml:space="preserve">Enables standalone BESS in Long Term auctions</t>
  </si>
  <si>
    <t xml:space="preserve">Res. CREG 701-103/2025</t>
  </si>
  <si>
    <t xml:space="preserve">Full technical, commercial and operational framework for SAEB (Battery Energy Storage Systems) in the SIN. In public consultation. Services: energy arbitrage, AGC (secondary frequency regulation), black start. Continuous with Res. 098/2019.</t>
  </si>
  <si>
    <t xml:space="preserve">Specific BESS regulation — key milestone</t>
  </si>
  <si>
    <t xml:space="preserve">Res. MinMinas 40178/2026</t>
  </si>
  <si>
    <t xml:space="preserve">General rules for Long Term contracting of clean energy. Introduces storage in competitive auction schemes.</t>
  </si>
  <si>
    <t xml:space="preserve">Enabling framework prior to LP tender</t>
  </si>
  <si>
    <t xml:space="preserve">Res. MinMinas 40208/2026</t>
  </si>
  <si>
    <t xml:space="preserve">Calls Colombia's first Long Term auction with BESS as an explicit product. Products: solar, wind, solar+BESS hybrid (17–21h window), standalone BESS. 15-year contracts. Obligations start Jan 1, 2030. Adjudication before Jul 31, 2026.</t>
  </si>
  <si>
    <t xml:space="preserve">First Long Term tender including BESS as product</t>
  </si>
  <si>
    <t xml:space="preserve">Incentivos activos (proyectos FNCER certificados)
</t>
  </si>
  <si>
    <t xml:space="preserve">Deducción en renta: 50% de la inversión (proyectos calificados por UPME + certificado ANLA)
IVA: exclusión para equipos, elementos y servicios para FNCER (nacionales e importados)
Arancel cero: importación de equipos y maquinaria para FNCER
Depreciación acelerada: hasta 33,3% anual (vs. tasa general del 10%)
Tramitación: solicitud ante UPME → certificado ANLA → aplicación tributaria</t>
  </si>
  <si>
    <t xml:space="preserve">Fecha realización</t>
  </si>
  <si>
    <t xml:space="preserve">Período OEF</t>
  </si>
  <si>
    <t xml:space="preserve">Adjudicado</t>
  </si>
  <si>
    <t xml:space="preserve">Composición</t>
  </si>
  <si>
    <t xml:space="preserve">Subasta LP</t>
  </si>
  <si>
    <t xml:space="preserve">Lanzada abr. 2026</t>
  </si>
  <si>
    <t xml:space="preserve">Inicio obligaciones: 1 ene. 2030</t>
  </si>
  <si>
    <t xml:space="preserve">Adjudicación antes 31 jul. 2026</t>
  </si>
  <si>
    <t xml:space="preserve">Solar, eólico, híbridos solar+BESS (franja 17-21h), BESS autónomo. Contratos 15 años. Res. 40208/2026 + Res. 40178/2026</t>
  </si>
  <si>
    <t xml:space="preserve">Servicios BESS</t>
  </si>
  <si>
    <t xml:space="preserve">Energy Arbitrage</t>
  </si>
  <si>
    <t xml:space="preserve">Secondary Frequency Regulation (AGC)</t>
  </si>
  <si>
    <t xml:space="preserve">Black Start</t>
  </si>
  <si>
    <t xml:space="preserve">Solar+BESS Hybrid Product</t>
  </si>
  <si>
    <t xml:space="preserve">BESS Standalone</t>
  </si>
  <si>
    <t xml:space="preserve">Reliability Obligation</t>
  </si>
  <si>
    <t xml:space="preserve">In Peru's energy structure, hydropower accounts for about 55% to 60%, natural gas thermal power units account for about 30% to 35%, while non-hydro renewable energy, including solar photovoltaics, wind power, small hydropower, and biomass energy, remains between 8% and 13%. Industrial electricity consumption accounted for a dominant 66%, while residential and commercial electricity consumption accounted for only 24% and 19%, respectively.</t>
  </si>
  <si>
    <t xml:space="preserve">Electroperú S.A.</t>
  </si>
  <si>
    <t xml:space="preserve">1026,70</t>
  </si>
  <si>
    <t xml:space="preserve">Kallpa Generación</t>
  </si>
  <si>
    <t xml:space="preserve">/</t>
  </si>
  <si>
    <t xml:space="preserve">Engie Energía Perú S.A.</t>
  </si>
  <si>
    <t xml:space="preserve">26.5 Chilca-BESS</t>
  </si>
  <si>
    <t xml:space="preserve">Orygen (Formerly Enel Generación Perú)</t>
  </si>
  <si>
    <t xml:space="preserve">2260,82</t>
  </si>
  <si>
    <t xml:space="preserve">14,6 Ventanilla</t>
  </si>
  <si>
    <t xml:space="preserve">COLBUN (Fenix Power S.A. )</t>
  </si>
  <si>
    <t xml:space="preserve">Orazul Energy Perú S.A (EGENOR )</t>
  </si>
  <si>
    <t xml:space="preserve">Celepsa (Termochilca S.A.C. )</t>
  </si>
  <si>
    <t xml:space="preserve">1 MW / 2 MWh</t>
  </si>
  <si>
    <t xml:space="preserve">Empresa de Generación Eléctrica del Sur S.A.</t>
  </si>
  <si>
    <t xml:space="preserve">Statkraft Perú</t>
  </si>
  <si>
    <t xml:space="preserve">SOUTHERN COPPER</t>
  </si>
  <si>
    <t xml:space="preserve">ANTAMINA</t>
  </si>
  <si>
    <t xml:space="preserve">CERRO VERDE</t>
  </si>
  <si>
    <t xml:space="preserve">NEWMONT</t>
  </si>
  <si>
    <t xml:space="preserve">LAS BAMBAS</t>
  </si>
  <si>
    <t xml:space="preserve">BARRIK</t>
  </si>
  <si>
    <t xml:space="preserve">PUERTO DE CALLAO</t>
  </si>
  <si>
    <t xml:space="preserve">PUERTO DE PAITA</t>
  </si>
  <si>
    <t xml:space="preserve">PUERTO DE SALABERRY</t>
  </si>
  <si>
    <t xml:space="preserve">JORGE CHAVEZ AIRPORT LIMA</t>
  </si>
  <si>
    <t xml:space="preserve">MINEM (Ministerio de Energía y Minas)</t>
  </si>
  <si>
    <t xml:space="preserve">Highest executive authority for setting national energy policies, strategic planning, and granting concessions for generation, transmission, and distribution.</t>
  </si>
  <si>
    <t xml:space="preserve">OSINERGMIN </t>
  </si>
  <si>
    <t xml:space="preserve">Regulatory arm under MINEM; formulates technical standards, reviews grid expansion plans, and issues administrative grid-tie permits and authorizations.</t>
  </si>
  <si>
    <t xml:space="preserve">ProInversión </t>
  </si>
  <si>
    <t xml:space="preserve">Manages the National Rural Electrification Plan (PNER); executes, finances, and coordinates autonomous solar-storage microgrids in off-grid rural and low-income regions.</t>
  </si>
  <si>
    <t xml:space="preserve">COES</t>
  </si>
  <si>
    <t xml:space="preserve">Governs national customs and internal taxation; reviews China-Peru FTA origin certificates for import duty exemptions and enforces the mandatory Perception (VAT pre-collection) mechanism.</t>
  </si>
  <si>
    <t xml:space="preserve">COES (Comité de Operación Económica del Sistema Eléctrico Interconectado Nacional / Committee for the Economic Operation of the National Interconnected System) </t>
  </si>
  <si>
    <t xml:space="preserve">The independent system operator (ISO) and financial clearinghouse for the SEIN grid; establishes grid-tie technical procedures (e.g., PR20) and penalizes entities causing grid deviations based on causality.</t>
  </si>
  <si>
    <t xml:space="preserve">D.Leg. 25844 — Ley de Concesiones Eléctricas</t>
  </si>
  <si>
    <t xml:space="preserve">Fundamento del modelo mixto peruano: separa generación, transmisión y distribución. Introduce la participación privada.</t>
  </si>
  <si>
    <t xml:space="preserve">Base legal del SEIN. No contempla almacenamiento.</t>
  </si>
  <si>
    <t xml:space="preserve">D.S. 009-93-EM — Reglamento LCE</t>
  </si>
  <si>
    <t xml:space="preserve">Reglas operativas del mercado: despacho por mérito, tarifas, obligaciones de agentes.</t>
  </si>
  <si>
    <t xml:space="preserve">Sin mención de almacenamiento.</t>
  </si>
  <si>
    <t xml:space="preserve">Ley 28832 — Desarrollo Eficiente de la Generación</t>
  </si>
  <si>
    <t xml:space="preserve">Introduce licitaciones de energía, mecanismo OEF (Oferta Económica Firme) y refuerza la competencia en generación.</t>
  </si>
  <si>
    <t xml:space="preserve">Marco de licitaciones. Base que la Ley 32249 modifica para habilitar BESS.</t>
  </si>
  <si>
    <t xml:space="preserve">Res. OS 224-2021 (OSINERGMIN)</t>
  </si>
  <si>
    <t xml:space="preserve">Modifica el procedimiento del COES para el cálculo de costos variables de las unidades de generación.</t>
  </si>
  <si>
    <t xml:space="preserve">Mejoró la señal del precio spot → mayor spread potencial para arbitraje en estiaje.</t>
  </si>
  <si>
    <t xml:space="preserve">RM 278-2023-MINEM — Hoja de Ruta Smart Grids</t>
  </si>
  <si>
    <t xml:space="preserve"> Define la estrategia nacional de redes inteligentes 2023–2030. Reconoce el almacenamiento como componente clave</t>
  </si>
  <si>
    <t xml:space="preserve">Primera mención explícita de BESS en política pública. Sin normativa de desarrollo aún.</t>
  </si>
  <si>
    <t xml:space="preserve">Ley 32249 — Modificación Ley 28832</t>
  </si>
  <si>
    <t xml:space="preserve">Crea la figura del Proveedor de Servicios Complementarios (PSC). Habilita PPAs sin respaldo de potencia. Permite a ERNC vender energía y potencia por bloques separados.</t>
  </si>
  <si>
    <t xml:space="preserve">Marco legal que reconoce BESS standalone como PSC. Habilita arbitraje de energía y potencia. Vigente desde 1 ene 2026.</t>
  </si>
  <si>
    <t xml:space="preserve">PR20 — Procedimiento técnico COES</t>
  </si>
  <si>
    <t xml:space="preserve">Obliga a toda central conectada al SEIN a aportar inercia sintética desde 2028. Respuesta &lt;100 ms, conexión &lt;20 ms, potencia firme &lt;50 ms. Conocido como "Ley de Inercia".</t>
  </si>
  <si>
    <t xml:space="preserve">Mandato técnico de BESS: toda generadora debe cumplir. Sin remuneración definida — principal brecha del mercado. </t>
  </si>
  <si>
    <t xml:space="preserve">Reglamento servicios complementarios (MINEM)</t>
  </si>
  <si>
    <t xml:space="preserve">Normativa pendiente ordenada por Ley 32249. Definirá remuneración, conexión y permisos para PSC/BESS standalone.</t>
  </si>
  <si>
    <t xml:space="preserve">Pieza regulatoria más crítica. Sin ella el business case standalone es especulativo.</t>
  </si>
  <si>
    <t xml:space="preserve">Reglamentación generación distribuida</t>
  </si>
  <si>
    <t xml:space="preserve">Marco para generación descentralizada, prosumidores y BESS behind-the-meter a escala comercial.</t>
  </si>
  <si>
    <t xml:space="preserve">Su ausencia bloquea el desarrollo C&amp;I y electrificación rural con almacenamiento.</t>
  </si>
  <si>
    <t xml:space="preserve">Chilca BESS</t>
  </si>
  <si>
    <t xml:space="preserve">Ventanilla BESS</t>
  </si>
  <si>
    <t xml:space="preserve">Orygen</t>
  </si>
  <si>
    <t xml:space="preserve">Kallpa BESS</t>
  </si>
  <si>
    <t xml:space="preserve">Uruguay's regulatory framework for stand-alone energy storage is markedly less developed than Chile, Argentina, Colombia, or Peru: there is no dedicated storage law or tender scheme equivalent to AlmaSADI (Argentina) or Producto 3 (Colombia). The main enabling instrument identified to date is a 2020 decree that allows UTE customers to install storage systems, oriented mainly toward behind-the-meter / self-consumption use cases rather than utility-scale stand-alone BESS. [Estimación / pendiente de verificación por Vigilancia Regulatoria LATAM — confirmar vigencia y alcance actual antes de usar como dato firme.]</t>
  </si>
  <si>
    <t xml:space="preserve">Generation installed capacity [MW]</t>
  </si>
  <si>
    <t xml:space="preserve">BESS capacity [MW]</t>
  </si>
  <si>
    <t xml:space="preserve">ESTIMATED BESS CAPACITY UNDER CONSTRUCTION [MW]</t>
  </si>
  <si>
    <t xml:space="preserve">MIEM — Ministerio de Industria, Energía y Minería</t>
  </si>
  <si>
    <t xml:space="preserve">National energy policy authority.</t>
  </si>
  <si>
    <t xml:space="preserve">URSEA — Unidad Reguladora de Servicios de Energía y Agua</t>
  </si>
  <si>
    <t xml:space="preserve">Technical and tariff regulation.</t>
  </si>
  <si>
    <t xml:space="preserve">UTE — Administración Nacional de Usinas y Trasmisiones Eléctricas</t>
  </si>
  <si>
    <t xml:space="preserve">State utility; approves storage installations for its customers under the 2020 decree.</t>
  </si>
  <si>
    <t xml:space="preserve">ADME — Administración del Mercado Eléctrico</t>
  </si>
  <si>
    <t xml:space="preserve">Electricity market administrator/dispatch.</t>
  </si>
  <si>
    <t xml:space="preserve">Decreto 2020 (storage enablement)</t>
  </si>
  <si>
    <t xml:space="preserve">Enables UTE's customers to install energy storage systems.</t>
  </si>
  <si>
    <t xml:space="preserve">*Behind-the-meter / self-consumption focus
*No stand-alone storage tender or mandate identified to date
*[Confirmar vigencia/alcance actual con Vigilancia Regulatoria LATAM]</t>
  </si>
  <si>
    <t xml:space="preserve">BESS IN URUGUAY</t>
  </si>
  <si>
    <t xml:space="preserve">TECHNICAL / GRID REQUIREMENTS</t>
  </si>
  <si>
    <t xml:space="preserve">PRICING</t>
  </si>
  <si>
    <t xml:space="preserve">UTE Tariffs / methodology</t>
  </si>
</sst>
</file>

<file path=xl/styles.xml><?xml version="1.0" encoding="utf-8"?>
<styleSheet xmlns="http://schemas.openxmlformats.org/spreadsheetml/2006/main">
  <numFmts count="5">
    <numFmt numFmtId="164" formatCode="General"/>
    <numFmt numFmtId="165" formatCode="0"/>
    <numFmt numFmtId="166" formatCode="mmm\-yy"/>
    <numFmt numFmtId="167" formatCode="0%"/>
    <numFmt numFmtId="168" formatCode="0.00"/>
  </numFmts>
  <fonts count="12">
    <font>
      <sz val="12"/>
      <color theme="1"/>
      <name val="Aptos Narrow"/>
      <family val="2"/>
      <charset val="1"/>
    </font>
    <font>
      <sz val="10"/>
      <name val="Arial"/>
      <family val="0"/>
    </font>
    <font>
      <sz val="10"/>
      <name val="Arial"/>
      <family val="0"/>
    </font>
    <font>
      <sz val="10"/>
      <name val="Arial"/>
      <family val="0"/>
    </font>
    <font>
      <b val="true"/>
      <sz val="12"/>
      <color theme="1"/>
      <name val="Aptos Narrow"/>
      <family val="0"/>
      <charset val="1"/>
    </font>
    <font>
      <sz val="12"/>
      <color rgb="FF000000"/>
      <name val="Aptos Narrow"/>
      <family val="2"/>
      <charset val="1"/>
    </font>
    <font>
      <b val="true"/>
      <sz val="12"/>
      <color rgb="FF000000"/>
      <name val="Aptos Narrow"/>
      <family val="0"/>
      <charset val="1"/>
    </font>
    <font>
      <b val="true"/>
      <sz val="12"/>
      <color theme="1"/>
      <name val="Aptos Narrow"/>
      <family val="2"/>
      <charset val="1"/>
    </font>
    <font>
      <b val="true"/>
      <sz val="12"/>
      <name val="Aptos Narrow"/>
      <family val="0"/>
      <charset val="1"/>
    </font>
    <font>
      <sz val="12"/>
      <name val="Aptos Narrow"/>
      <family val="0"/>
      <charset val="1"/>
    </font>
    <font>
      <i val="true"/>
      <sz val="10"/>
      <name val="Aptos Narrow"/>
      <family val="0"/>
      <charset val="1"/>
    </font>
    <font>
      <sz val="12"/>
      <color theme="1"/>
      <name val="Aptos Narrow"/>
      <family val="0"/>
      <charset val="1"/>
    </font>
  </fonts>
  <fills count="3">
    <fill>
      <patternFill patternType="none"/>
    </fill>
    <fill>
      <patternFill patternType="gray125"/>
    </fill>
    <fill>
      <patternFill patternType="solid">
        <fgColor rgb="FFFFC000"/>
        <bgColor rgb="FFFF9900"/>
      </patternFill>
    </fill>
  </fills>
  <borders count="4">
    <border diagonalUp="false" diagonalDown="false">
      <left/>
      <right/>
      <top/>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style="thin"/>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4" fillId="0" borderId="2" xfId="0" applyFont="true" applyBorder="true" applyAlignment="false" applyProtection="false">
      <alignment horizontal="general" vertical="bottom" textRotation="0" wrapText="false" indent="0" shrinkToFit="false"/>
      <protection locked="true" hidden="false"/>
    </xf>
    <xf numFmtId="165" fontId="0" fillId="0" borderId="2" xfId="0" applyFont="fals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4" fontId="5" fillId="0" borderId="2" xfId="0" applyFont="true" applyBorder="true" applyAlignment="true" applyProtection="false">
      <alignment horizontal="general" vertical="bottom"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0" borderId="2" xfId="0" applyFont="false" applyBorder="true" applyAlignment="true" applyProtection="false">
      <alignment horizontal="left" vertical="center" textRotation="0" wrapText="true" indent="0" shrinkToFit="false"/>
      <protection locked="true" hidden="false"/>
    </xf>
    <xf numFmtId="164" fontId="4" fillId="0" borderId="2" xfId="0" applyFont="true" applyBorder="true" applyAlignment="true" applyProtection="false">
      <alignment horizontal="left" vertical="center" textRotation="0" wrapText="true" indent="0" shrinkToFit="false"/>
      <protection locked="true" hidden="false"/>
    </xf>
    <xf numFmtId="164" fontId="0" fillId="2" borderId="2" xfId="0" applyFont="false" applyBorder="true" applyAlignment="true" applyProtection="false">
      <alignment horizontal="left" vertical="center" textRotation="0" wrapText="true" indent="0" shrinkToFit="false"/>
      <protection locked="true" hidden="false"/>
    </xf>
    <xf numFmtId="164" fontId="4" fillId="0" borderId="2" xfId="0" applyFont="true" applyBorder="true" applyAlignment="true" applyProtection="false">
      <alignment horizontal="left" vertical="bottom" textRotation="0" wrapText="false" indent="0" shrinkToFit="false"/>
      <protection locked="true" hidden="false"/>
    </xf>
    <xf numFmtId="164" fontId="0" fillId="0" borderId="2" xfId="0" applyFont="false" applyBorder="true" applyAlignment="true" applyProtection="false">
      <alignment horizontal="left" vertical="bottom" textRotation="0" wrapText="true" indent="0" shrinkToFit="false"/>
      <protection locked="true" hidden="false"/>
    </xf>
    <xf numFmtId="164" fontId="7" fillId="0" borderId="2" xfId="0" applyFont="true" applyBorder="true" applyAlignment="true" applyProtection="false">
      <alignment horizontal="left" vertical="bottom" textRotation="0" wrapText="false" indent="0" shrinkToFit="false"/>
      <protection locked="true" hidden="false"/>
    </xf>
    <xf numFmtId="164" fontId="7" fillId="0" borderId="2" xfId="0" applyFont="true" applyBorder="true" applyAlignment="false" applyProtection="false">
      <alignment horizontal="general" vertical="bottom" textRotation="0" wrapText="false" indent="0" shrinkToFit="false"/>
      <protection locked="true" hidden="false"/>
    </xf>
    <xf numFmtId="166" fontId="0" fillId="0" borderId="2" xfId="0" applyFont="false" applyBorder="true" applyAlignment="false" applyProtection="false">
      <alignment horizontal="general" vertical="bottom" textRotation="0" wrapText="false" indent="0" shrinkToFit="false"/>
      <protection locked="true" hidden="false"/>
    </xf>
    <xf numFmtId="164" fontId="0" fillId="0" borderId="2" xfId="0" applyFont="true" applyBorder="true" applyAlignment="true" applyProtection="false">
      <alignment horizontal="center" vertical="bottom" textRotation="0" wrapText="false" indent="0" shrinkToFit="false"/>
      <protection locked="true" hidden="false"/>
    </xf>
    <xf numFmtId="167" fontId="0" fillId="0" borderId="2" xfId="0" applyFont="false" applyBorder="true" applyAlignment="true" applyProtection="false">
      <alignment horizontal="center" vertical="bottom" textRotation="0" wrapText="false" indent="0" shrinkToFit="false"/>
      <protection locked="true" hidden="false"/>
    </xf>
    <xf numFmtId="168" fontId="0" fillId="0" borderId="2" xfId="0" applyFont="false" applyBorder="tru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center" vertical="center" textRotation="0" wrapText="true" indent="0" shrinkToFit="false"/>
      <protection locked="true" hidden="false"/>
    </xf>
    <xf numFmtId="164" fontId="0" fillId="0" borderId="2" xfId="0" applyFont="true" applyBorder="true" applyAlignment="true" applyProtection="false">
      <alignment horizontal="general" vertical="center" textRotation="0" wrapText="true" indent="0" shrinkToFit="false"/>
      <protection locked="true" hidden="false"/>
    </xf>
    <xf numFmtId="164" fontId="0" fillId="2" borderId="3" xfId="0" applyFont="true" applyBorder="true" applyAlignment="true" applyProtection="false">
      <alignment horizontal="left" vertical="center" textRotation="0" wrapText="true" indent="0" shrinkToFit="false"/>
      <protection locked="true" hidden="false"/>
    </xf>
    <xf numFmtId="164" fontId="0" fillId="2" borderId="2"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4" fillId="0" borderId="2" xfId="0" applyFont="true" applyBorder="true" applyAlignment="true" applyProtection="false">
      <alignment horizontal="left" vertical="bottom" textRotation="0" wrapText="true" indent="0" shrinkToFit="false"/>
      <protection locked="true" hidden="false"/>
    </xf>
    <xf numFmtId="164" fontId="4" fillId="0" borderId="2" xfId="0" applyFont="true" applyBorder="true" applyAlignment="true" applyProtection="false">
      <alignment horizontal="general" vertical="bottom" textRotation="0" wrapText="true" indent="0" shrinkToFit="false"/>
      <protection locked="true" hidden="false"/>
    </xf>
    <xf numFmtId="164" fontId="0" fillId="2" borderId="2" xfId="0" applyFont="false" applyBorder="true" applyAlignment="true" applyProtection="false">
      <alignment horizontal="general" vertical="bottom" textRotation="0" wrapText="true" indent="0" shrinkToFit="false"/>
      <protection locked="true" hidden="false"/>
    </xf>
    <xf numFmtId="164" fontId="0" fillId="2" borderId="2" xfId="0" applyFont="true" applyBorder="true" applyAlignment="true" applyProtection="false">
      <alignment horizontal="center" vertical="bottom" textRotation="0" wrapText="false" indent="0" shrinkToFit="false"/>
      <protection locked="true" hidden="false"/>
    </xf>
    <xf numFmtId="164" fontId="0" fillId="0" borderId="2"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3"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2" borderId="2"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2.png"/>
</Relationships>
</file>

<file path=xl/drawings/_rels/drawing3.xml.rels><?xml version="1.0" encoding="UTF-8"?>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
</Relationships>
</file>

<file path=xl/drawings/_rels/drawing4.xml.rels><?xml version="1.0" encoding="UTF-8"?>
<Relationships xmlns="http://schemas.openxmlformats.org/package/2006/relationships"><Relationship Id="rId1" Type="http://schemas.openxmlformats.org/officeDocument/2006/relationships/image" Target="../media/image5.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2051640</xdr:colOff>
      <xdr:row>50</xdr:row>
      <xdr:rowOff>740880</xdr:rowOff>
    </xdr:from>
    <xdr:to>
      <xdr:col>7</xdr:col>
      <xdr:colOff>3974400</xdr:colOff>
      <xdr:row>56</xdr:row>
      <xdr:rowOff>829080</xdr:rowOff>
    </xdr:to>
    <xdr:pic>
      <xdr:nvPicPr>
        <xdr:cNvPr id="0" name="Picture 1" descr=""/>
        <xdr:cNvPicPr/>
      </xdr:nvPicPr>
      <xdr:blipFill>
        <a:blip r:embed="rId1"/>
        <a:stretch/>
      </xdr:blipFill>
      <xdr:spPr>
        <a:xfrm>
          <a:off x="24112080" y="12351960"/>
          <a:ext cx="10337760" cy="793656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88920</xdr:colOff>
      <xdr:row>14</xdr:row>
      <xdr:rowOff>173880</xdr:rowOff>
    </xdr:from>
    <xdr:to>
      <xdr:col>5</xdr:col>
      <xdr:colOff>2102040</xdr:colOff>
      <xdr:row>29</xdr:row>
      <xdr:rowOff>171360</xdr:rowOff>
    </xdr:to>
    <xdr:pic>
      <xdr:nvPicPr>
        <xdr:cNvPr id="1" name="Picture 1" descr=""/>
        <xdr:cNvPicPr/>
      </xdr:nvPicPr>
      <xdr:blipFill>
        <a:blip r:embed="rId1"/>
        <a:stretch/>
      </xdr:blipFill>
      <xdr:spPr>
        <a:xfrm>
          <a:off x="16066800" y="5193720"/>
          <a:ext cx="6975000" cy="288324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5</xdr:col>
      <xdr:colOff>839160</xdr:colOff>
      <xdr:row>37</xdr:row>
      <xdr:rowOff>100080</xdr:rowOff>
    </xdr:from>
    <xdr:to>
      <xdr:col>19</xdr:col>
      <xdr:colOff>101880</xdr:colOff>
      <xdr:row>46</xdr:row>
      <xdr:rowOff>831240</xdr:rowOff>
    </xdr:to>
    <xdr:pic>
      <xdr:nvPicPr>
        <xdr:cNvPr id="2" name="Picture 3" descr=""/>
        <xdr:cNvPicPr/>
      </xdr:nvPicPr>
      <xdr:blipFill>
        <a:blip r:embed="rId1"/>
        <a:stretch/>
      </xdr:blipFill>
      <xdr:spPr>
        <a:xfrm>
          <a:off x="14947560" y="11777760"/>
          <a:ext cx="14322240" cy="6446160"/>
        </a:xfrm>
        <a:prstGeom prst="rect">
          <a:avLst/>
        </a:prstGeom>
        <a:ln w="0">
          <a:noFill/>
        </a:ln>
      </xdr:spPr>
    </xdr:pic>
    <xdr:clientData/>
  </xdr:twoCellAnchor>
  <xdr:twoCellAnchor editAs="oneCell">
    <xdr:from>
      <xdr:col>5</xdr:col>
      <xdr:colOff>861840</xdr:colOff>
      <xdr:row>33</xdr:row>
      <xdr:rowOff>113400</xdr:rowOff>
    </xdr:from>
    <xdr:to>
      <xdr:col>18</xdr:col>
      <xdr:colOff>847080</xdr:colOff>
      <xdr:row>37</xdr:row>
      <xdr:rowOff>589320</xdr:rowOff>
    </xdr:to>
    <xdr:pic>
      <xdr:nvPicPr>
        <xdr:cNvPr id="3" name="Picture 4" descr=""/>
        <xdr:cNvPicPr/>
      </xdr:nvPicPr>
      <xdr:blipFill>
        <a:blip r:embed="rId2"/>
        <a:stretch/>
      </xdr:blipFill>
      <xdr:spPr>
        <a:xfrm>
          <a:off x="14970240" y="9248040"/>
          <a:ext cx="13969080" cy="301896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mlns:r="http://schemas.openxmlformats.org/officeDocument/2006/relationships">
  <xdr:twoCellAnchor editAs="oneCell">
    <xdr:from>
      <xdr:col>4</xdr:col>
      <xdr:colOff>3092400</xdr:colOff>
      <xdr:row>35</xdr:row>
      <xdr:rowOff>8280</xdr:rowOff>
    </xdr:from>
    <xdr:to>
      <xdr:col>6</xdr:col>
      <xdr:colOff>2968920</xdr:colOff>
      <xdr:row>39</xdr:row>
      <xdr:rowOff>382680</xdr:rowOff>
    </xdr:to>
    <xdr:pic>
      <xdr:nvPicPr>
        <xdr:cNvPr id="4" name="Picture 1" descr="Peer Review on Low-Carbon Energy Policies in Peru"/>
        <xdr:cNvPicPr/>
      </xdr:nvPicPr>
      <xdr:blipFill>
        <a:blip r:embed="rId1"/>
        <a:stretch/>
      </xdr:blipFill>
      <xdr:spPr>
        <a:xfrm>
          <a:off x="16760880" y="7237800"/>
          <a:ext cx="5982120" cy="357480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H166"/>
  <sheetViews>
    <sheetView showFormulas="false" showGridLines="true" showRowColHeaders="true" showZeros="true" rightToLeft="false" tabSelected="true" showOutlineSymbols="true" defaultGridColor="true" view="normal" topLeftCell="A49" colorId="64" zoomScale="54" zoomScaleNormal="54" zoomScalePageLayoutView="100" workbookViewId="0">
      <selection pane="topLeft" activeCell="C54" activeCellId="0" sqref="C54"/>
    </sheetView>
  </sheetViews>
  <sheetFormatPr defaultColWidth="11.07421875" defaultRowHeight="15" zeroHeight="false" outlineLevelRow="0" outlineLevelCol="0"/>
  <cols>
    <col collapsed="false" customWidth="true" hidden="false" outlineLevel="0" max="2" min="2" style="0" width="38.31"/>
    <col collapsed="false" customWidth="true" hidden="false" outlineLevel="0" max="3" min="3" style="0" width="105.07"/>
    <col collapsed="false" customWidth="true" hidden="false" outlineLevel="0" max="4" min="4" style="0" width="34.62"/>
    <col collapsed="false" customWidth="true" hidden="false" outlineLevel="0" max="5" min="5" style="0" width="38"/>
    <col collapsed="false" customWidth="true" hidden="false" outlineLevel="0" max="6" min="6" style="0" width="25.15"/>
    <col collapsed="false" customWidth="true" hidden="false" outlineLevel="0" max="7" min="7" style="0" width="61.47"/>
    <col collapsed="false" customWidth="true" hidden="false" outlineLevel="0" max="8" min="8" style="0" width="66.15"/>
  </cols>
  <sheetData>
    <row r="2" customFormat="false" ht="15" hidden="false" customHeight="false" outlineLevel="0" collapsed="false">
      <c r="B2" s="1" t="s">
        <v>0</v>
      </c>
    </row>
    <row r="3" customFormat="false" ht="84.75" hidden="false" customHeight="true" outlineLevel="0" collapsed="false">
      <c r="B3" s="2" t="s">
        <v>1</v>
      </c>
      <c r="C3" s="2"/>
      <c r="D3" s="2"/>
    </row>
    <row r="5" customFormat="false" ht="15" hidden="false" customHeight="false" outlineLevel="0" collapsed="false">
      <c r="A5" s="3"/>
      <c r="B5" s="4" t="s">
        <v>2</v>
      </c>
      <c r="C5" s="4"/>
      <c r="D5" s="4" t="s">
        <v>3</v>
      </c>
      <c r="E5" s="4" t="s">
        <v>4</v>
      </c>
      <c r="F5" s="4" t="s">
        <v>5</v>
      </c>
      <c r="G5" s="4" t="s">
        <v>6</v>
      </c>
    </row>
    <row r="6" customFormat="false" ht="15" hidden="false" customHeight="false" outlineLevel="0" collapsed="false">
      <c r="A6" s="3" t="n">
        <v>1</v>
      </c>
      <c r="B6" s="3" t="s">
        <v>7</v>
      </c>
      <c r="C6" s="3" t="s">
        <v>8</v>
      </c>
      <c r="D6" s="3" t="s">
        <v>9</v>
      </c>
      <c r="E6" s="3" t="n">
        <v>8700</v>
      </c>
      <c r="F6" s="3" t="n">
        <v>203</v>
      </c>
      <c r="G6" s="3" t="n">
        <v>391</v>
      </c>
    </row>
    <row r="7" customFormat="false" ht="15" hidden="false" customHeight="false" outlineLevel="0" collapsed="false">
      <c r="A7" s="3" t="n">
        <v>2</v>
      </c>
      <c r="B7" s="3" t="s">
        <v>10</v>
      </c>
      <c r="C7" s="3" t="s">
        <v>8</v>
      </c>
      <c r="D7" s="3" t="s">
        <v>9</v>
      </c>
      <c r="E7" s="3" t="n">
        <v>3414</v>
      </c>
      <c r="F7" s="3" t="n">
        <v>451</v>
      </c>
      <c r="G7" s="3" t="n">
        <v>1547</v>
      </c>
    </row>
    <row r="8" customFormat="false" ht="15" hidden="false" customHeight="false" outlineLevel="0" collapsed="false">
      <c r="A8" s="3" t="n">
        <v>3</v>
      </c>
      <c r="B8" s="3" t="s">
        <v>11</v>
      </c>
      <c r="C8" s="3" t="s">
        <v>8</v>
      </c>
      <c r="D8" s="3" t="s">
        <v>9</v>
      </c>
      <c r="E8" s="3" t="n">
        <f aca="false">2900-F8</f>
        <v>2633</v>
      </c>
      <c r="F8" s="3" t="n">
        <v>267</v>
      </c>
      <c r="G8" s="3" t="n">
        <v>476</v>
      </c>
    </row>
    <row r="9" customFormat="false" ht="15" hidden="false" customHeight="false" outlineLevel="0" collapsed="false">
      <c r="A9" s="3" t="n">
        <v>4</v>
      </c>
      <c r="B9" s="3" t="s">
        <v>12</v>
      </c>
      <c r="C9" s="3" t="s">
        <v>8</v>
      </c>
      <c r="D9" s="3" t="s">
        <v>9</v>
      </c>
      <c r="E9" s="5" t="n">
        <f aca="false">4459*99.8%</f>
        <v>4450.082</v>
      </c>
      <c r="F9" s="5" t="n">
        <f aca="false">4459*0.2%</f>
        <v>8.918</v>
      </c>
      <c r="G9" s="3" t="n">
        <v>456</v>
      </c>
    </row>
    <row r="11" customFormat="false" ht="15" hidden="false" customHeight="false" outlineLevel="0" collapsed="false">
      <c r="A11" s="3"/>
      <c r="B11" s="4" t="s">
        <v>13</v>
      </c>
      <c r="C11" s="3"/>
      <c r="D11" s="3"/>
      <c r="E11" s="4" t="s">
        <v>14</v>
      </c>
      <c r="F11" s="4" t="s">
        <v>15</v>
      </c>
      <c r="G11" s="4" t="s">
        <v>16</v>
      </c>
    </row>
    <row r="12" customFormat="false" ht="15" hidden="false" customHeight="false" outlineLevel="0" collapsed="false">
      <c r="A12" s="3" t="n">
        <v>5</v>
      </c>
      <c r="B12" s="3" t="s">
        <v>17</v>
      </c>
      <c r="C12" s="3" t="s">
        <v>18</v>
      </c>
      <c r="D12" s="3" t="s">
        <v>19</v>
      </c>
      <c r="E12" s="3"/>
      <c r="F12" s="3"/>
      <c r="G12" s="3"/>
    </row>
    <row r="13" customFormat="false" ht="15" hidden="false" customHeight="false" outlineLevel="0" collapsed="false">
      <c r="A13" s="3" t="n">
        <v>6</v>
      </c>
      <c r="B13" s="3" t="s">
        <v>20</v>
      </c>
      <c r="C13" s="3" t="s">
        <v>21</v>
      </c>
      <c r="D13" s="3" t="s">
        <v>19</v>
      </c>
      <c r="E13" s="3" t="n">
        <v>175</v>
      </c>
      <c r="F13" s="3"/>
      <c r="G13" s="3" t="s">
        <v>22</v>
      </c>
    </row>
    <row r="14" customFormat="false" ht="15" hidden="false" customHeight="false" outlineLevel="0" collapsed="false">
      <c r="A14" s="3" t="n">
        <v>7</v>
      </c>
      <c r="B14" s="3" t="s">
        <v>23</v>
      </c>
      <c r="C14" s="3" t="s">
        <v>21</v>
      </c>
      <c r="D14" s="3" t="s">
        <v>19</v>
      </c>
      <c r="E14" s="3"/>
      <c r="F14" s="3"/>
      <c r="G14" s="3"/>
    </row>
    <row r="15" customFormat="false" ht="15" hidden="false" customHeight="false" outlineLevel="0" collapsed="false">
      <c r="A15" s="3" t="n">
        <v>8</v>
      </c>
      <c r="B15" s="3" t="s">
        <v>24</v>
      </c>
      <c r="C15" s="3" t="s">
        <v>21</v>
      </c>
      <c r="D15" s="3" t="s">
        <v>19</v>
      </c>
      <c r="E15" s="3"/>
      <c r="F15" s="3"/>
      <c r="G15" s="3"/>
    </row>
    <row r="16" customFormat="false" ht="15" hidden="false" customHeight="false" outlineLevel="0" collapsed="false">
      <c r="A16" s="3" t="n">
        <v>9</v>
      </c>
      <c r="B16" s="3" t="s">
        <v>25</v>
      </c>
      <c r="C16" s="3" t="s">
        <v>21</v>
      </c>
      <c r="D16" s="3" t="s">
        <v>19</v>
      </c>
      <c r="E16" s="3"/>
      <c r="F16" s="3"/>
      <c r="G16" s="3"/>
    </row>
    <row r="17" customFormat="false" ht="15" hidden="false" customHeight="false" outlineLevel="0" collapsed="false">
      <c r="A17" s="3" t="n">
        <v>10</v>
      </c>
      <c r="B17" s="3" t="s">
        <v>26</v>
      </c>
      <c r="C17" s="3" t="s">
        <v>21</v>
      </c>
      <c r="D17" s="3" t="s">
        <v>19</v>
      </c>
      <c r="E17" s="3"/>
      <c r="F17" s="3"/>
      <c r="G17" s="3"/>
    </row>
    <row r="18" customFormat="false" ht="15" hidden="false" customHeight="false" outlineLevel="0" collapsed="false">
      <c r="A18" s="3" t="n">
        <v>11</v>
      </c>
      <c r="B18" s="3" t="s">
        <v>27</v>
      </c>
      <c r="C18" s="3" t="s">
        <v>28</v>
      </c>
      <c r="D18" s="3" t="s">
        <v>19</v>
      </c>
      <c r="E18" s="3"/>
      <c r="F18" s="3"/>
      <c r="G18" s="3"/>
    </row>
    <row r="19" customFormat="false" ht="15" hidden="false" customHeight="false" outlineLevel="0" collapsed="false">
      <c r="A19" s="3" t="n">
        <v>12</v>
      </c>
      <c r="B19" s="3" t="s">
        <v>29</v>
      </c>
      <c r="C19" s="3" t="s">
        <v>28</v>
      </c>
      <c r="D19" s="3" t="s">
        <v>19</v>
      </c>
      <c r="E19" s="3"/>
      <c r="F19" s="3"/>
      <c r="G19" s="3"/>
    </row>
    <row r="20" customFormat="false" ht="15" hidden="false" customHeight="false" outlineLevel="0" collapsed="false">
      <c r="A20" s="3" t="n">
        <v>13</v>
      </c>
      <c r="B20" s="3" t="s">
        <v>30</v>
      </c>
      <c r="C20" s="3" t="s">
        <v>31</v>
      </c>
      <c r="D20" s="3" t="s">
        <v>32</v>
      </c>
      <c r="E20" s="3" t="n">
        <v>3.9</v>
      </c>
      <c r="F20" s="3" t="s">
        <v>33</v>
      </c>
      <c r="G20" s="3" t="s">
        <v>34</v>
      </c>
    </row>
    <row r="21" customFormat="false" ht="15" hidden="false" customHeight="false" outlineLevel="0" collapsed="false">
      <c r="A21" s="3" t="n">
        <v>14</v>
      </c>
      <c r="B21" s="3" t="s">
        <v>35</v>
      </c>
      <c r="C21" s="3" t="s">
        <v>31</v>
      </c>
      <c r="D21" s="3" t="s">
        <v>32</v>
      </c>
      <c r="E21" s="3"/>
      <c r="F21" s="3"/>
      <c r="G21" s="3"/>
    </row>
    <row r="22" customFormat="false" ht="15" hidden="false" customHeight="false" outlineLevel="0" collapsed="false">
      <c r="A22" s="3" t="n">
        <v>15</v>
      </c>
      <c r="B22" s="3" t="s">
        <v>36</v>
      </c>
      <c r="C22" s="3" t="s">
        <v>37</v>
      </c>
      <c r="D22" s="3" t="s">
        <v>32</v>
      </c>
      <c r="E22" s="3"/>
      <c r="F22" s="3"/>
      <c r="G22" s="3"/>
    </row>
    <row r="23" customFormat="false" ht="15" hidden="false" customHeight="false" outlineLevel="0" collapsed="false">
      <c r="A23" s="3" t="n">
        <v>16</v>
      </c>
      <c r="B23" s="3" t="s">
        <v>38</v>
      </c>
      <c r="C23" s="3" t="s">
        <v>37</v>
      </c>
      <c r="D23" s="3" t="s">
        <v>32</v>
      </c>
      <c r="E23" s="3"/>
      <c r="F23" s="3"/>
      <c r="G23" s="3"/>
    </row>
    <row r="24" customFormat="false" ht="15" hidden="false" customHeight="false" outlineLevel="0" collapsed="false">
      <c r="A24" s="3" t="n">
        <v>17</v>
      </c>
      <c r="B24" s="3" t="s">
        <v>39</v>
      </c>
      <c r="C24" s="3" t="s">
        <v>37</v>
      </c>
      <c r="D24" s="3" t="s">
        <v>32</v>
      </c>
      <c r="E24" s="3"/>
      <c r="F24" s="3"/>
      <c r="G24" s="3"/>
    </row>
    <row r="25" customFormat="false" ht="15" hidden="false" customHeight="false" outlineLevel="0" collapsed="false">
      <c r="A25" s="3" t="n">
        <v>18</v>
      </c>
      <c r="B25" s="3" t="s">
        <v>40</v>
      </c>
      <c r="C25" s="3" t="s">
        <v>37</v>
      </c>
      <c r="D25" s="3" t="s">
        <v>32</v>
      </c>
      <c r="E25" s="3"/>
      <c r="F25" s="3"/>
      <c r="G25" s="3"/>
    </row>
    <row r="26" customFormat="false" ht="15" hidden="false" customHeight="false" outlineLevel="0" collapsed="false">
      <c r="A26" s="3" t="n">
        <v>19</v>
      </c>
      <c r="B26" s="3" t="s">
        <v>41</v>
      </c>
      <c r="C26" s="3" t="s">
        <v>42</v>
      </c>
      <c r="D26" s="3" t="s">
        <v>32</v>
      </c>
      <c r="E26" s="3"/>
      <c r="F26" s="3"/>
      <c r="G26" s="3"/>
    </row>
    <row r="27" customFormat="false" ht="15" hidden="false" customHeight="false" outlineLevel="0" collapsed="false">
      <c r="A27" s="3" t="n">
        <v>20</v>
      </c>
      <c r="B27" s="3" t="s">
        <v>43</v>
      </c>
      <c r="C27" s="3" t="s">
        <v>42</v>
      </c>
      <c r="D27" s="3" t="s">
        <v>32</v>
      </c>
      <c r="E27" s="3"/>
      <c r="F27" s="3"/>
      <c r="G27" s="3"/>
    </row>
    <row r="28" customFormat="false" ht="15" hidden="false" customHeight="false" outlineLevel="0" collapsed="false">
      <c r="A28" s="3" t="n">
        <v>21</v>
      </c>
      <c r="B28" s="3" t="s">
        <v>44</v>
      </c>
      <c r="C28" s="3" t="s">
        <v>42</v>
      </c>
      <c r="D28" s="3" t="s">
        <v>32</v>
      </c>
      <c r="E28" s="3"/>
      <c r="F28" s="3"/>
      <c r="G28" s="3"/>
    </row>
    <row r="29" customFormat="false" ht="15" hidden="false" customHeight="false" outlineLevel="0" collapsed="false">
      <c r="A29" s="3" t="n">
        <v>22</v>
      </c>
      <c r="B29" s="3" t="s">
        <v>45</v>
      </c>
      <c r="C29" s="3" t="s">
        <v>42</v>
      </c>
      <c r="D29" s="3" t="s">
        <v>32</v>
      </c>
      <c r="E29" s="3"/>
      <c r="F29" s="3"/>
      <c r="G29" s="3"/>
    </row>
    <row r="30" customFormat="false" ht="15" hidden="false" customHeight="false" outlineLevel="0" collapsed="false">
      <c r="A30" s="3" t="n">
        <v>23</v>
      </c>
      <c r="B30" s="3" t="s">
        <v>46</v>
      </c>
      <c r="C30" s="3" t="s">
        <v>47</v>
      </c>
      <c r="D30" s="3" t="s">
        <v>32</v>
      </c>
      <c r="E30" s="3"/>
      <c r="F30" s="3"/>
      <c r="G30" s="3"/>
    </row>
    <row r="31" customFormat="false" ht="15" hidden="false" customHeight="false" outlineLevel="0" collapsed="false">
      <c r="A31" s="3" t="n">
        <v>24</v>
      </c>
      <c r="B31" s="3" t="s">
        <v>48</v>
      </c>
      <c r="C31" s="3" t="s">
        <v>49</v>
      </c>
      <c r="D31" s="3" t="s">
        <v>32</v>
      </c>
      <c r="E31" s="3"/>
      <c r="F31" s="3"/>
      <c r="G31" s="3"/>
    </row>
    <row r="32" customFormat="false" ht="15" hidden="false" customHeight="false" outlineLevel="0" collapsed="false">
      <c r="A32" s="3" t="n">
        <v>25</v>
      </c>
      <c r="B32" s="3" t="s">
        <v>50</v>
      </c>
      <c r="C32" s="3" t="s">
        <v>49</v>
      </c>
      <c r="D32" s="3" t="s">
        <v>32</v>
      </c>
      <c r="E32" s="3"/>
      <c r="F32" s="3"/>
      <c r="G32" s="3"/>
    </row>
    <row r="33" customFormat="false" ht="15" hidden="false" customHeight="false" outlineLevel="0" collapsed="false">
      <c r="A33" s="3" t="n">
        <v>26</v>
      </c>
      <c r="B33" s="3" t="s">
        <v>51</v>
      </c>
      <c r="C33" s="3" t="s">
        <v>52</v>
      </c>
      <c r="D33" s="3" t="s">
        <v>32</v>
      </c>
      <c r="E33" s="3"/>
      <c r="F33" s="3"/>
      <c r="G33" s="3"/>
    </row>
    <row r="34" customFormat="false" ht="15" hidden="false" customHeight="false" outlineLevel="0" collapsed="false">
      <c r="A34" s="3" t="n">
        <v>27</v>
      </c>
      <c r="B34" s="3" t="s">
        <v>53</v>
      </c>
      <c r="C34" s="3" t="s">
        <v>52</v>
      </c>
      <c r="D34" s="3" t="s">
        <v>32</v>
      </c>
      <c r="E34" s="3"/>
      <c r="F34" s="3"/>
      <c r="G34" s="3"/>
    </row>
    <row r="35" customFormat="false" ht="15" hidden="false" customHeight="false" outlineLevel="0" collapsed="false">
      <c r="A35" s="3" t="n">
        <v>28</v>
      </c>
      <c r="B35" s="3" t="s">
        <v>54</v>
      </c>
      <c r="C35" s="3" t="s">
        <v>52</v>
      </c>
      <c r="D35" s="3" t="s">
        <v>32</v>
      </c>
      <c r="E35" s="3"/>
      <c r="F35" s="3"/>
      <c r="G35" s="3"/>
    </row>
    <row r="36" customFormat="false" ht="15" hidden="false" customHeight="false" outlineLevel="0" collapsed="false">
      <c r="A36" s="3" t="n">
        <v>29</v>
      </c>
      <c r="B36" s="3" t="s">
        <v>55</v>
      </c>
      <c r="C36" s="3" t="s">
        <v>56</v>
      </c>
      <c r="D36" s="3" t="s">
        <v>32</v>
      </c>
      <c r="E36" s="3"/>
      <c r="F36" s="3"/>
      <c r="G36" s="3"/>
    </row>
    <row r="37" customFormat="false" ht="15" hidden="false" customHeight="false" outlineLevel="0" collapsed="false">
      <c r="A37" s="3" t="n">
        <v>30</v>
      </c>
      <c r="B37" s="3" t="s">
        <v>57</v>
      </c>
      <c r="C37" s="3" t="s">
        <v>56</v>
      </c>
      <c r="D37" s="3" t="s">
        <v>32</v>
      </c>
      <c r="E37" s="3"/>
      <c r="F37" s="3"/>
      <c r="G37" s="3"/>
    </row>
    <row r="38" customFormat="false" ht="15" hidden="false" customHeight="false" outlineLevel="0" collapsed="false">
      <c r="A38" s="3" t="n">
        <v>31</v>
      </c>
      <c r="B38" s="3" t="s">
        <v>58</v>
      </c>
      <c r="C38" s="3" t="s">
        <v>56</v>
      </c>
      <c r="D38" s="3" t="s">
        <v>32</v>
      </c>
      <c r="E38" s="3"/>
      <c r="F38" s="3"/>
      <c r="G38" s="3"/>
    </row>
    <row r="39" customFormat="false" ht="15" hidden="false" customHeight="false" outlineLevel="0" collapsed="false">
      <c r="A39" s="3" t="n">
        <v>32</v>
      </c>
      <c r="B39" s="3" t="s">
        <v>59</v>
      </c>
      <c r="C39" s="3" t="s">
        <v>60</v>
      </c>
      <c r="D39" s="3" t="s">
        <v>32</v>
      </c>
      <c r="E39" s="3"/>
      <c r="F39" s="3"/>
      <c r="G39" s="3"/>
    </row>
    <row r="41" customFormat="false" ht="15" hidden="false" customHeight="false" outlineLevel="0" collapsed="false">
      <c r="A41" s="6"/>
      <c r="B41" s="7" t="s">
        <v>61</v>
      </c>
      <c r="C41" s="6"/>
    </row>
    <row r="42" customFormat="false" ht="30.75" hidden="false" customHeight="true" outlineLevel="0" collapsed="false">
      <c r="A42" s="8" t="n">
        <v>1</v>
      </c>
      <c r="B42" s="9" t="s">
        <v>62</v>
      </c>
      <c r="C42" s="9" t="s">
        <v>63</v>
      </c>
    </row>
    <row r="43" customFormat="false" ht="30.75" hidden="false" customHeight="true" outlineLevel="0" collapsed="false">
      <c r="A43" s="8" t="n">
        <v>2</v>
      </c>
      <c r="B43" s="9" t="s">
        <v>64</v>
      </c>
      <c r="C43" s="9" t="s">
        <v>65</v>
      </c>
    </row>
    <row r="44" customFormat="false" ht="30.75" hidden="false" customHeight="true" outlineLevel="0" collapsed="false">
      <c r="A44" s="8" t="n">
        <v>3</v>
      </c>
      <c r="B44" s="9" t="s">
        <v>66</v>
      </c>
      <c r="C44" s="9" t="s">
        <v>67</v>
      </c>
    </row>
    <row r="45" customFormat="false" ht="30.75" hidden="false" customHeight="true" outlineLevel="0" collapsed="false">
      <c r="A45" s="8" t="n">
        <v>4</v>
      </c>
      <c r="B45" s="9" t="s">
        <v>68</v>
      </c>
      <c r="C45" s="9" t="s">
        <v>69</v>
      </c>
    </row>
    <row r="46" customFormat="false" ht="30.75" hidden="false" customHeight="true" outlineLevel="0" collapsed="false">
      <c r="A46" s="8" t="n">
        <v>5</v>
      </c>
      <c r="B46" s="9" t="s">
        <v>70</v>
      </c>
      <c r="C46" s="9" t="s">
        <v>71</v>
      </c>
    </row>
    <row r="47" customFormat="false" ht="30.75" hidden="false" customHeight="true" outlineLevel="0" collapsed="false">
      <c r="A47" s="8" t="n">
        <v>6</v>
      </c>
      <c r="B47" s="9" t="s">
        <v>72</v>
      </c>
      <c r="C47" s="9" t="s">
        <v>73</v>
      </c>
    </row>
    <row r="50" customFormat="false" ht="15" hidden="false" customHeight="false" outlineLevel="0" collapsed="false">
      <c r="A50" s="10"/>
      <c r="B50" s="11" t="s">
        <v>74</v>
      </c>
      <c r="C50" s="11" t="s">
        <v>75</v>
      </c>
      <c r="D50" s="11" t="s">
        <v>76</v>
      </c>
      <c r="E50" s="11" t="s">
        <v>77</v>
      </c>
    </row>
    <row r="51" customFormat="false" ht="108" hidden="false" customHeight="true" outlineLevel="0" collapsed="false">
      <c r="A51" s="10" t="n">
        <v>1</v>
      </c>
      <c r="B51" s="10" t="s">
        <v>78</v>
      </c>
      <c r="C51" s="10" t="s">
        <v>79</v>
      </c>
      <c r="D51" s="10" t="s">
        <v>80</v>
      </c>
      <c r="E51" s="10" t="s">
        <v>81</v>
      </c>
    </row>
    <row r="52" customFormat="false" ht="77.25" hidden="false" customHeight="true" outlineLevel="0" collapsed="false">
      <c r="A52" s="10" t="n">
        <v>2</v>
      </c>
      <c r="B52" s="10" t="s">
        <v>82</v>
      </c>
      <c r="C52" s="10" t="s">
        <v>79</v>
      </c>
      <c r="D52" s="10" t="s">
        <v>83</v>
      </c>
      <c r="E52" s="10" t="s">
        <v>84</v>
      </c>
    </row>
    <row r="53" customFormat="false" ht="123.75" hidden="false" customHeight="true" outlineLevel="0" collapsed="false">
      <c r="A53" s="10" t="n">
        <v>3</v>
      </c>
      <c r="B53" s="10" t="s">
        <v>85</v>
      </c>
      <c r="C53" s="10" t="s">
        <v>79</v>
      </c>
      <c r="D53" s="10" t="s">
        <v>86</v>
      </c>
      <c r="E53" s="10" t="s">
        <v>87</v>
      </c>
    </row>
    <row r="54" customFormat="false" ht="61.5" hidden="false" customHeight="true" outlineLevel="0" collapsed="false">
      <c r="A54" s="10" t="n">
        <v>4</v>
      </c>
      <c r="B54" s="10" t="s">
        <v>88</v>
      </c>
      <c r="C54" s="10" t="s">
        <v>79</v>
      </c>
      <c r="D54" s="10" t="s">
        <v>89</v>
      </c>
      <c r="E54" s="9" t="s">
        <v>90</v>
      </c>
    </row>
    <row r="55" customFormat="false" ht="93" hidden="false" customHeight="true" outlineLevel="0" collapsed="false">
      <c r="A55" s="12" t="n">
        <v>5</v>
      </c>
      <c r="B55" s="12" t="s">
        <v>91</v>
      </c>
      <c r="C55" s="12" t="s">
        <v>79</v>
      </c>
      <c r="D55" s="12" t="s">
        <v>92</v>
      </c>
      <c r="E55" s="12" t="s">
        <v>93</v>
      </c>
    </row>
    <row r="56" customFormat="false" ht="154.5" hidden="false" customHeight="true" outlineLevel="0" collapsed="false">
      <c r="A56" s="10" t="n">
        <v>6</v>
      </c>
      <c r="B56" s="10" t="s">
        <v>94</v>
      </c>
      <c r="C56" s="10" t="s">
        <v>95</v>
      </c>
      <c r="D56" s="10" t="s">
        <v>96</v>
      </c>
      <c r="E56" s="10" t="s">
        <v>97</v>
      </c>
    </row>
    <row r="57" customFormat="false" ht="93" hidden="false" customHeight="true" outlineLevel="0" collapsed="false">
      <c r="A57" s="10" t="n">
        <v>7</v>
      </c>
      <c r="B57" s="10" t="s">
        <v>98</v>
      </c>
      <c r="C57" s="10" t="s">
        <v>79</v>
      </c>
      <c r="D57" s="10" t="s">
        <v>99</v>
      </c>
      <c r="E57" s="10" t="s">
        <v>100</v>
      </c>
    </row>
    <row r="58" customFormat="false" ht="139.5" hidden="false" customHeight="true" outlineLevel="0" collapsed="false">
      <c r="A58" s="10" t="n">
        <v>8</v>
      </c>
      <c r="B58" s="10" t="s">
        <v>101</v>
      </c>
      <c r="C58" s="10" t="s">
        <v>95</v>
      </c>
      <c r="D58" s="10" t="s">
        <v>102</v>
      </c>
      <c r="E58" s="10" t="s">
        <v>103</v>
      </c>
    </row>
    <row r="59" customFormat="false" ht="93" hidden="false" customHeight="true" outlineLevel="0" collapsed="false">
      <c r="A59" s="10" t="n">
        <v>9</v>
      </c>
      <c r="B59" s="10" t="s">
        <v>104</v>
      </c>
      <c r="C59" s="10" t="s">
        <v>105</v>
      </c>
      <c r="D59" s="10" t="s">
        <v>106</v>
      </c>
      <c r="E59" s="10" t="s">
        <v>107</v>
      </c>
    </row>
    <row r="60" customFormat="false" ht="139.5" hidden="false" customHeight="true" outlineLevel="0" collapsed="false">
      <c r="A60" s="10"/>
      <c r="B60" s="10" t="s">
        <v>108</v>
      </c>
      <c r="C60" s="10" t="s">
        <v>109</v>
      </c>
      <c r="D60" s="10" t="s">
        <v>110</v>
      </c>
      <c r="E60" s="10" t="s">
        <v>111</v>
      </c>
    </row>
    <row r="61" customFormat="false" ht="77.25" hidden="false" customHeight="true" outlineLevel="0" collapsed="false">
      <c r="A61" s="10" t="n">
        <v>10</v>
      </c>
      <c r="B61" s="10" t="s">
        <v>112</v>
      </c>
      <c r="C61" s="10" t="s">
        <v>79</v>
      </c>
      <c r="D61" s="10" t="s">
        <v>113</v>
      </c>
      <c r="E61" s="10" t="s">
        <v>114</v>
      </c>
    </row>
    <row r="62" customFormat="false" ht="46.5" hidden="false" customHeight="true" outlineLevel="0" collapsed="false">
      <c r="A62" s="10" t="n">
        <v>11</v>
      </c>
      <c r="B62" s="10" t="s">
        <v>115</v>
      </c>
      <c r="C62" s="10" t="s">
        <v>116</v>
      </c>
      <c r="D62" s="10" t="s">
        <v>117</v>
      </c>
      <c r="E62" s="10" t="s">
        <v>118</v>
      </c>
    </row>
    <row r="63" customFormat="false" ht="123.75" hidden="false" customHeight="true" outlineLevel="0" collapsed="false">
      <c r="A63" s="10" t="n">
        <v>12</v>
      </c>
      <c r="B63" s="10" t="s">
        <v>119</v>
      </c>
      <c r="C63" s="10" t="s">
        <v>116</v>
      </c>
      <c r="D63" s="10" t="s">
        <v>120</v>
      </c>
      <c r="E63" s="10" t="s">
        <v>121</v>
      </c>
    </row>
    <row r="64" customFormat="false" ht="93" hidden="false" customHeight="true" outlineLevel="0" collapsed="false">
      <c r="A64" s="12" t="n">
        <v>13</v>
      </c>
      <c r="B64" s="12" t="s">
        <v>122</v>
      </c>
      <c r="C64" s="12" t="s">
        <v>79</v>
      </c>
      <c r="D64" s="12" t="s">
        <v>123</v>
      </c>
      <c r="E64" s="12" t="s">
        <v>124</v>
      </c>
    </row>
    <row r="65" customFormat="false" ht="93" hidden="false" customHeight="true" outlineLevel="0" collapsed="false">
      <c r="A65" s="10" t="n">
        <v>14</v>
      </c>
      <c r="B65" s="10" t="s">
        <v>125</v>
      </c>
      <c r="C65" s="10" t="s">
        <v>116</v>
      </c>
      <c r="D65" s="10" t="s">
        <v>126</v>
      </c>
      <c r="E65" s="10" t="s">
        <v>127</v>
      </c>
    </row>
    <row r="66" customFormat="false" ht="30.75" hidden="false" customHeight="true" outlineLevel="0" collapsed="false">
      <c r="A66" s="10" t="n">
        <v>15</v>
      </c>
      <c r="B66" s="10" t="s">
        <v>128</v>
      </c>
      <c r="C66" s="10" t="s">
        <v>116</v>
      </c>
      <c r="D66" s="10" t="s">
        <v>129</v>
      </c>
      <c r="E66" s="10" t="s">
        <v>130</v>
      </c>
    </row>
    <row r="67" customFormat="false" ht="15" hidden="false" customHeight="false" outlineLevel="0" collapsed="false">
      <c r="A67" s="10" t="n">
        <v>16</v>
      </c>
      <c r="B67" s="10"/>
      <c r="C67" s="10"/>
      <c r="D67" s="10"/>
      <c r="E67" s="10"/>
    </row>
    <row r="68" customFormat="false" ht="15" hidden="false" customHeight="false" outlineLevel="0" collapsed="false">
      <c r="A68" s="10" t="n">
        <v>17</v>
      </c>
      <c r="B68" s="10"/>
      <c r="C68" s="10"/>
      <c r="D68" s="10"/>
      <c r="E68" s="10"/>
    </row>
    <row r="69" customFormat="false" ht="15" hidden="false" customHeight="false" outlineLevel="0" collapsed="false">
      <c r="A69" s="10" t="n">
        <v>18</v>
      </c>
      <c r="B69" s="10"/>
      <c r="C69" s="10"/>
      <c r="D69" s="10"/>
      <c r="E69" s="10"/>
    </row>
    <row r="70" customFormat="false" ht="15" hidden="false" customHeight="false" outlineLevel="0" collapsed="false">
      <c r="A70" s="10" t="n">
        <v>19</v>
      </c>
      <c r="B70" s="10"/>
      <c r="C70" s="10"/>
      <c r="D70" s="10"/>
      <c r="E70" s="10"/>
    </row>
    <row r="71" customFormat="false" ht="15" hidden="false" customHeight="false" outlineLevel="0" collapsed="false">
      <c r="A71" s="10" t="n">
        <v>20</v>
      </c>
      <c r="B71" s="10"/>
      <c r="C71" s="10"/>
      <c r="D71" s="10"/>
      <c r="E71" s="10"/>
    </row>
    <row r="73" customFormat="false" ht="15" hidden="false" customHeight="false" outlineLevel="0" collapsed="false">
      <c r="B73" s="13" t="s">
        <v>131</v>
      </c>
      <c r="C73" s="13"/>
      <c r="D73" s="13"/>
    </row>
    <row r="74" customFormat="false" ht="15" hidden="false" customHeight="false" outlineLevel="0" collapsed="false">
      <c r="A74" s="3"/>
      <c r="B74" s="4" t="s">
        <v>132</v>
      </c>
      <c r="C74" s="11" t="s">
        <v>76</v>
      </c>
      <c r="D74" s="11" t="s">
        <v>77</v>
      </c>
    </row>
    <row r="75" customFormat="false" ht="123.75" hidden="false" customHeight="true" outlineLevel="0" collapsed="false">
      <c r="A75" s="14" t="n">
        <v>1</v>
      </c>
      <c r="B75" s="10" t="s">
        <v>133</v>
      </c>
      <c r="C75" s="10" t="s">
        <v>134</v>
      </c>
      <c r="D75" s="14" t="s">
        <v>135</v>
      </c>
    </row>
    <row r="76" customFormat="false" ht="77.25" hidden="false" customHeight="true" outlineLevel="0" collapsed="false">
      <c r="A76" s="14" t="n">
        <v>2</v>
      </c>
      <c r="B76" s="10" t="s">
        <v>136</v>
      </c>
      <c r="C76" s="10" t="s">
        <v>137</v>
      </c>
      <c r="D76" s="14" t="s">
        <v>138</v>
      </c>
    </row>
    <row r="77" customFormat="false" ht="77.25" hidden="false" customHeight="true" outlineLevel="0" collapsed="false">
      <c r="A77" s="14" t="n">
        <v>3</v>
      </c>
      <c r="B77" s="14" t="s">
        <v>139</v>
      </c>
      <c r="C77" s="14" t="s">
        <v>140</v>
      </c>
      <c r="D77" s="14" t="s">
        <v>141</v>
      </c>
    </row>
    <row r="80" customFormat="false" ht="15" hidden="false" customHeight="false" outlineLevel="0" collapsed="false">
      <c r="A80" s="4"/>
      <c r="B80" s="13" t="s">
        <v>142</v>
      </c>
      <c r="C80" s="13"/>
      <c r="D80" s="13"/>
    </row>
    <row r="81" customFormat="false" ht="15" hidden="false" customHeight="false" outlineLevel="0" collapsed="false">
      <c r="A81" s="3"/>
      <c r="B81" s="4" t="s">
        <v>143</v>
      </c>
      <c r="C81" s="4" t="s">
        <v>144</v>
      </c>
      <c r="D81" s="4" t="s">
        <v>145</v>
      </c>
    </row>
    <row r="82" customFormat="false" ht="15" hidden="false" customHeight="false" outlineLevel="0" collapsed="false">
      <c r="A82" s="14" t="n">
        <v>1</v>
      </c>
      <c r="B82" s="3" t="s">
        <v>146</v>
      </c>
      <c r="C82" s="3" t="s">
        <v>147</v>
      </c>
      <c r="D82" s="3" t="s">
        <v>148</v>
      </c>
    </row>
    <row r="83" customFormat="false" ht="15" hidden="false" customHeight="false" outlineLevel="0" collapsed="false">
      <c r="A83" s="14" t="n">
        <v>2</v>
      </c>
      <c r="B83" s="3" t="s">
        <v>149</v>
      </c>
      <c r="C83" s="3" t="s">
        <v>150</v>
      </c>
      <c r="D83" s="3" t="s">
        <v>151</v>
      </c>
    </row>
    <row r="84" customFormat="false" ht="15" hidden="false" customHeight="false" outlineLevel="0" collapsed="false">
      <c r="A84" s="14" t="n">
        <v>3</v>
      </c>
      <c r="B84" s="3" t="s">
        <v>33</v>
      </c>
      <c r="C84" s="3" t="s">
        <v>12</v>
      </c>
      <c r="D84" s="3" t="s">
        <v>152</v>
      </c>
    </row>
    <row r="85" customFormat="false" ht="15" hidden="false" customHeight="false" outlineLevel="0" collapsed="false">
      <c r="A85" s="14" t="n">
        <v>4</v>
      </c>
      <c r="B85" s="3" t="s">
        <v>153</v>
      </c>
      <c r="C85" s="3" t="s">
        <v>11</v>
      </c>
      <c r="D85" s="3" t="s">
        <v>154</v>
      </c>
    </row>
    <row r="86" customFormat="false" ht="15" hidden="false" customHeight="false" outlineLevel="0" collapsed="false">
      <c r="A86" s="14" t="n">
        <v>5</v>
      </c>
      <c r="B86" s="3"/>
      <c r="C86" s="3"/>
      <c r="D86" s="3"/>
    </row>
    <row r="90" customFormat="false" ht="15" hidden="false" customHeight="false" outlineLevel="0" collapsed="false">
      <c r="A90" s="3"/>
      <c r="B90" s="15" t="s">
        <v>155</v>
      </c>
      <c r="C90" s="15"/>
      <c r="D90" s="15"/>
    </row>
    <row r="91" customFormat="false" ht="15" hidden="false" customHeight="false" outlineLevel="0" collapsed="false">
      <c r="A91" s="3"/>
      <c r="B91" s="16" t="s">
        <v>156</v>
      </c>
      <c r="C91" s="16" t="s">
        <v>157</v>
      </c>
      <c r="D91" s="16" t="s">
        <v>158</v>
      </c>
    </row>
    <row r="92" customFormat="false" ht="15" hidden="false" customHeight="false" outlineLevel="0" collapsed="false">
      <c r="A92" s="17" t="n">
        <v>46023</v>
      </c>
      <c r="B92" s="3" t="n">
        <v>2159</v>
      </c>
      <c r="C92" s="3" t="n">
        <v>1065</v>
      </c>
      <c r="D92" s="3" t="n">
        <v>6731</v>
      </c>
    </row>
    <row r="93" customFormat="false" ht="15" hidden="false" customHeight="false" outlineLevel="0" collapsed="false">
      <c r="A93" s="17" t="n">
        <v>46054</v>
      </c>
      <c r="B93" s="3" t="n">
        <v>2480</v>
      </c>
      <c r="C93" s="3" t="n">
        <v>988</v>
      </c>
      <c r="D93" s="3" t="n">
        <v>6660</v>
      </c>
    </row>
    <row r="94" customFormat="false" ht="15" hidden="false" customHeight="false" outlineLevel="0" collapsed="false">
      <c r="A94" s="17" t="n">
        <v>46082</v>
      </c>
      <c r="B94" s="3" t="n">
        <v>2529</v>
      </c>
      <c r="C94" s="3" t="n">
        <v>1255</v>
      </c>
      <c r="D94" s="3" t="n">
        <v>6361</v>
      </c>
    </row>
    <row r="98" customFormat="false" ht="15" hidden="false" customHeight="false" outlineLevel="0" collapsed="false">
      <c r="A98" s="3"/>
      <c r="B98" s="16" t="s">
        <v>159</v>
      </c>
      <c r="C98" s="16" t="s">
        <v>160</v>
      </c>
    </row>
    <row r="99" customFormat="false" ht="15" hidden="false" customHeight="false" outlineLevel="0" collapsed="false">
      <c r="A99" s="14" t="n">
        <v>1</v>
      </c>
      <c r="B99" s="3" t="s">
        <v>161</v>
      </c>
      <c r="C99" s="3" t="s">
        <v>162</v>
      </c>
    </row>
    <row r="100" customFormat="false" ht="15" hidden="false" customHeight="false" outlineLevel="0" collapsed="false">
      <c r="A100" s="14" t="n">
        <v>2</v>
      </c>
      <c r="B100" s="3" t="s">
        <v>163</v>
      </c>
      <c r="C100" s="3" t="s">
        <v>164</v>
      </c>
    </row>
    <row r="101" customFormat="false" ht="15" hidden="false" customHeight="false" outlineLevel="0" collapsed="false">
      <c r="A101" s="14" t="n">
        <v>3</v>
      </c>
      <c r="B101" s="3" t="s">
        <v>165</v>
      </c>
      <c r="C101" s="3" t="s">
        <v>166</v>
      </c>
    </row>
    <row r="102" customFormat="false" ht="15" hidden="false" customHeight="false" outlineLevel="0" collapsed="false">
      <c r="A102" s="14" t="n">
        <v>4</v>
      </c>
      <c r="B102" s="3" t="s">
        <v>167</v>
      </c>
      <c r="C102" s="3" t="s">
        <v>168</v>
      </c>
    </row>
    <row r="105" customFormat="false" ht="15" hidden="false" customHeight="false" outlineLevel="0" collapsed="false">
      <c r="A105" s="3"/>
      <c r="B105" s="16" t="s">
        <v>169</v>
      </c>
      <c r="C105" s="16" t="s">
        <v>170</v>
      </c>
    </row>
    <row r="106" customFormat="false" ht="15" hidden="false" customHeight="false" outlineLevel="0" collapsed="false">
      <c r="A106" s="14"/>
      <c r="B106" s="18" t="s">
        <v>171</v>
      </c>
      <c r="C106" s="19" t="n">
        <v>0</v>
      </c>
    </row>
    <row r="107" customFormat="false" ht="15" hidden="false" customHeight="false" outlineLevel="0" collapsed="false">
      <c r="A107" s="14"/>
      <c r="B107" s="18" t="n">
        <v>1</v>
      </c>
      <c r="C107" s="19" t="n">
        <v>0.36</v>
      </c>
    </row>
    <row r="108" customFormat="false" ht="15" hidden="false" customHeight="false" outlineLevel="0" collapsed="false">
      <c r="A108" s="14"/>
      <c r="B108" s="18" t="n">
        <v>2</v>
      </c>
      <c r="C108" s="19" t="n">
        <v>0.65</v>
      </c>
    </row>
    <row r="109" customFormat="false" ht="15" hidden="false" customHeight="false" outlineLevel="0" collapsed="false">
      <c r="A109" s="14"/>
      <c r="B109" s="18" t="n">
        <v>3</v>
      </c>
      <c r="C109" s="19" t="n">
        <v>0.85</v>
      </c>
    </row>
    <row r="110" customFormat="false" ht="15" hidden="false" customHeight="false" outlineLevel="0" collapsed="false">
      <c r="A110" s="14"/>
      <c r="B110" s="18" t="n">
        <v>4</v>
      </c>
      <c r="C110" s="19" t="n">
        <v>0.98</v>
      </c>
    </row>
    <row r="111" customFormat="false" ht="15" hidden="false" customHeight="false" outlineLevel="0" collapsed="false">
      <c r="A111" s="14"/>
      <c r="B111" s="18" t="s">
        <v>172</v>
      </c>
      <c r="C111" s="19" t="n">
        <v>1</v>
      </c>
    </row>
    <row r="113" customFormat="false" ht="15" hidden="false" customHeight="false" outlineLevel="0" collapsed="false">
      <c r="H113" s="0" t="s">
        <v>173</v>
      </c>
    </row>
    <row r="114" customFormat="false" ht="15" hidden="false" customHeight="false" outlineLevel="0" collapsed="false">
      <c r="A114" s="3"/>
      <c r="B114" s="16" t="s">
        <v>174</v>
      </c>
      <c r="C114" s="16" t="s">
        <v>160</v>
      </c>
    </row>
    <row r="115" customFormat="false" ht="15" hidden="false" customHeight="false" outlineLevel="0" collapsed="false">
      <c r="A115" s="14"/>
      <c r="B115" s="18" t="s">
        <v>175</v>
      </c>
      <c r="C115" s="19" t="s">
        <v>176</v>
      </c>
      <c r="H115" s="0" t="s">
        <v>177</v>
      </c>
    </row>
    <row r="116" customFormat="false" ht="15" hidden="false" customHeight="false" outlineLevel="0" collapsed="false">
      <c r="A116" s="14"/>
      <c r="B116" s="18" t="s">
        <v>178</v>
      </c>
      <c r="C116" s="19" t="s">
        <v>179</v>
      </c>
    </row>
    <row r="117" customFormat="false" ht="15" hidden="false" customHeight="false" outlineLevel="0" collapsed="false">
      <c r="A117" s="14"/>
      <c r="B117" s="18" t="s">
        <v>180</v>
      </c>
      <c r="C117" s="19" t="s">
        <v>181</v>
      </c>
      <c r="H117" s="0" t="s">
        <v>182</v>
      </c>
    </row>
    <row r="118" customFormat="false" ht="15" hidden="false" customHeight="false" outlineLevel="0" collapsed="false">
      <c r="A118" s="14"/>
      <c r="B118" s="18" t="s">
        <v>183</v>
      </c>
      <c r="C118" s="19" t="s">
        <v>184</v>
      </c>
      <c r="H118" s="0" t="s">
        <v>185</v>
      </c>
    </row>
    <row r="119" customFormat="false" ht="15" hidden="false" customHeight="false" outlineLevel="0" collapsed="false">
      <c r="A119" s="14"/>
      <c r="B119" s="18" t="s">
        <v>186</v>
      </c>
      <c r="C119" s="19" t="s">
        <v>187</v>
      </c>
      <c r="H119" s="0" t="s">
        <v>188</v>
      </c>
    </row>
    <row r="120" customFormat="false" ht="15" hidden="false" customHeight="false" outlineLevel="0" collapsed="false">
      <c r="A120" s="14"/>
      <c r="B120" s="18" t="s">
        <v>189</v>
      </c>
      <c r="C120" s="19" t="s">
        <v>190</v>
      </c>
      <c r="H120" s="0" t="s">
        <v>191</v>
      </c>
    </row>
    <row r="122" customFormat="false" ht="15" hidden="false" customHeight="false" outlineLevel="0" collapsed="false">
      <c r="H122" s="0" t="s">
        <v>192</v>
      </c>
    </row>
    <row r="123" customFormat="false" ht="15" hidden="false" customHeight="false" outlineLevel="0" collapsed="false">
      <c r="H123" s="0" t="s">
        <v>193</v>
      </c>
    </row>
    <row r="124" customFormat="false" ht="15" hidden="false" customHeight="false" outlineLevel="0" collapsed="false">
      <c r="H124" s="0" t="s">
        <v>194</v>
      </c>
    </row>
    <row r="153" customFormat="false" ht="15" hidden="false" customHeight="false" outlineLevel="0" collapsed="false">
      <c r="A153" s="3"/>
      <c r="B153" s="15" t="s">
        <v>195</v>
      </c>
      <c r="C153" s="15"/>
      <c r="D153" s="15"/>
      <c r="E153" s="15"/>
      <c r="F153" s="15"/>
    </row>
    <row r="154" customFormat="false" ht="15" hidden="false" customHeight="false" outlineLevel="0" collapsed="false">
      <c r="A154" s="14"/>
      <c r="B154" s="16"/>
      <c r="C154" s="16" t="s">
        <v>196</v>
      </c>
      <c r="D154" s="16" t="s">
        <v>197</v>
      </c>
      <c r="E154" s="16" t="s">
        <v>198</v>
      </c>
      <c r="F154" s="16" t="s">
        <v>199</v>
      </c>
    </row>
    <row r="155" customFormat="false" ht="15" hidden="false" customHeight="false" outlineLevel="0" collapsed="false">
      <c r="A155" s="14"/>
      <c r="B155" s="3" t="s">
        <v>200</v>
      </c>
      <c r="C155" s="20" t="n">
        <v>0</v>
      </c>
      <c r="D155" s="20" t="n">
        <v>0</v>
      </c>
      <c r="E155" s="20" t="n">
        <v>0</v>
      </c>
      <c r="F155" s="20" t="n">
        <v>0</v>
      </c>
    </row>
    <row r="156" customFormat="false" ht="15" hidden="false" customHeight="false" outlineLevel="0" collapsed="false">
      <c r="A156" s="14"/>
      <c r="B156" s="3" t="s">
        <v>201</v>
      </c>
      <c r="C156" s="20" t="n">
        <v>102.1606</v>
      </c>
      <c r="D156" s="20" t="n">
        <v>92.66043</v>
      </c>
      <c r="E156" s="20" t="n">
        <v>112.75076</v>
      </c>
      <c r="F156" s="20" t="n">
        <v>69.12163</v>
      </c>
    </row>
    <row r="157" customFormat="false" ht="15" hidden="false" customHeight="false" outlineLevel="0" collapsed="false">
      <c r="A157" s="14"/>
      <c r="B157" s="3" t="s">
        <v>202</v>
      </c>
      <c r="C157" s="20" t="n">
        <v>40.6047276302083</v>
      </c>
      <c r="D157" s="20" t="n">
        <v>33.578221484375</v>
      </c>
      <c r="E157" s="20" t="n">
        <v>53.8192472135417</v>
      </c>
      <c r="F157" s="20" t="n">
        <v>27.2224835416667</v>
      </c>
    </row>
    <row r="160" customFormat="false" ht="15" hidden="false" customHeight="false" outlineLevel="0" collapsed="false">
      <c r="A160" s="6"/>
      <c r="B160" s="7" t="s">
        <v>203</v>
      </c>
    </row>
    <row r="161" customFormat="false" ht="15" hidden="false" customHeight="false" outlineLevel="0" collapsed="false">
      <c r="B161" s="8" t="s">
        <v>203</v>
      </c>
      <c r="C161" s="8" t="s">
        <v>204</v>
      </c>
      <c r="D161" s="8" t="s">
        <v>205</v>
      </c>
      <c r="E161" s="8" t="s">
        <v>206</v>
      </c>
    </row>
    <row r="162" customFormat="false" ht="15" hidden="false" customHeight="false" outlineLevel="0" collapsed="false">
      <c r="A162" s="8" t="n">
        <v>1</v>
      </c>
      <c r="B162" s="8" t="s">
        <v>207</v>
      </c>
      <c r="C162" s="8" t="s">
        <v>208</v>
      </c>
      <c r="D162" s="8" t="s">
        <v>209</v>
      </c>
      <c r="E162" s="8" t="n">
        <v>200</v>
      </c>
    </row>
    <row r="163" customFormat="false" ht="15" hidden="false" customHeight="false" outlineLevel="0" collapsed="false">
      <c r="A163" s="8" t="n">
        <v>2</v>
      </c>
      <c r="B163" s="0" t="s">
        <v>210</v>
      </c>
      <c r="C163" s="8" t="s">
        <v>211</v>
      </c>
      <c r="D163" s="8" t="s">
        <v>212</v>
      </c>
      <c r="E163" s="8" t="n">
        <v>175</v>
      </c>
    </row>
    <row r="164" customFormat="false" ht="15" hidden="false" customHeight="false" outlineLevel="0" collapsed="false">
      <c r="A164" s="8" t="n">
        <v>3</v>
      </c>
      <c r="B164" s="8" t="s">
        <v>213</v>
      </c>
      <c r="C164" s="8" t="s">
        <v>214</v>
      </c>
      <c r="D164" s="8" t="s">
        <v>212</v>
      </c>
      <c r="E164" s="8" t="n">
        <v>140</v>
      </c>
    </row>
    <row r="165" customFormat="false" ht="15" hidden="false" customHeight="false" outlineLevel="0" collapsed="false">
      <c r="A165" s="8" t="n">
        <v>4</v>
      </c>
      <c r="B165" s="8" t="s">
        <v>215</v>
      </c>
      <c r="C165" s="8" t="s">
        <v>214</v>
      </c>
      <c r="D165" s="8" t="s">
        <v>212</v>
      </c>
      <c r="E165" s="8" t="n">
        <v>139</v>
      </c>
    </row>
    <row r="166" customFormat="false" ht="15" hidden="false" customHeight="false" outlineLevel="0" collapsed="false">
      <c r="A166" s="8" t="n">
        <v>5</v>
      </c>
      <c r="B166" s="8" t="s">
        <v>216</v>
      </c>
      <c r="C166" s="8" t="s">
        <v>214</v>
      </c>
      <c r="D166" s="8" t="s">
        <v>209</v>
      </c>
      <c r="E166" s="8" t="n">
        <v>116</v>
      </c>
    </row>
  </sheetData>
  <mergeCells count="5">
    <mergeCell ref="B3:D3"/>
    <mergeCell ref="B73:D73"/>
    <mergeCell ref="B80:D80"/>
    <mergeCell ref="B90:D90"/>
    <mergeCell ref="B153:F15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9"/>
  <sheetViews>
    <sheetView showFormulas="false" showGridLines="true" showRowColHeaders="true" showZeros="true" rightToLeft="false" tabSelected="false" showOutlineSymbols="true" defaultGridColor="true" view="normal" topLeftCell="A1" colorId="64" zoomScale="57" zoomScaleNormal="57" zoomScalePageLayoutView="100" workbookViewId="0">
      <selection pane="topLeft" activeCell="B2" activeCellId="0" sqref="B2"/>
    </sheetView>
  </sheetViews>
  <sheetFormatPr defaultColWidth="11.07421875" defaultRowHeight="15" zeroHeight="false" outlineLevelRow="0" outlineLevelCol="0"/>
  <cols>
    <col collapsed="false" customWidth="true" hidden="false" outlineLevel="0" max="2" min="2" style="0" width="45"/>
    <col collapsed="false" customWidth="true" hidden="false" outlineLevel="0" max="3" min="3" style="0" width="62.69"/>
    <col collapsed="false" customWidth="true" hidden="false" outlineLevel="0" max="4" min="4" style="0" width="45.69"/>
    <col collapsed="false" customWidth="true" hidden="false" outlineLevel="0" max="5" min="5" style="0" width="51.07"/>
    <col collapsed="false" customWidth="true" hidden="false" outlineLevel="0" max="6" min="6" style="0" width="38"/>
    <col collapsed="false" customWidth="true" hidden="false" outlineLevel="0" max="7" min="7" style="0" width="61.07"/>
  </cols>
  <sheetData>
    <row r="1" customFormat="false" ht="15" hidden="false" customHeight="true" outlineLevel="0" collapsed="false"/>
    <row r="2" customFormat="false" ht="15" hidden="false" customHeight="false" outlineLevel="0" collapsed="false">
      <c r="B2" s="1" t="s">
        <v>0</v>
      </c>
    </row>
    <row r="3" customFormat="false" ht="200.25" hidden="false" customHeight="true" outlineLevel="0" collapsed="false">
      <c r="B3" s="2" t="s">
        <v>217</v>
      </c>
      <c r="C3" s="2"/>
      <c r="D3" s="2"/>
    </row>
    <row r="5" customFormat="false" ht="15" hidden="false" customHeight="false" outlineLevel="0" collapsed="false">
      <c r="B5" s="1" t="s">
        <v>2</v>
      </c>
      <c r="C5" s="4"/>
      <c r="D5" s="4" t="s">
        <v>3</v>
      </c>
      <c r="E5" s="4" t="s">
        <v>218</v>
      </c>
      <c r="F5" s="4" t="s">
        <v>219</v>
      </c>
      <c r="G5" s="4" t="s">
        <v>220</v>
      </c>
    </row>
    <row r="6" customFormat="false" ht="15" hidden="false" customHeight="false" outlineLevel="0" collapsed="false">
      <c r="A6" s="3" t="n">
        <v>1</v>
      </c>
      <c r="B6" s="3" t="s">
        <v>7</v>
      </c>
      <c r="C6" s="3" t="s">
        <v>221</v>
      </c>
      <c r="D6" s="3" t="s">
        <v>9</v>
      </c>
      <c r="E6" s="3" t="n">
        <v>1328</v>
      </c>
      <c r="F6" s="3" t="n">
        <v>0</v>
      </c>
      <c r="G6" s="3"/>
    </row>
    <row r="7" customFormat="false" ht="15" hidden="false" customHeight="false" outlineLevel="0" collapsed="false">
      <c r="A7" s="3" t="n">
        <v>2</v>
      </c>
      <c r="B7" s="3" t="s">
        <v>222</v>
      </c>
      <c r="C7" s="3" t="s">
        <v>8</v>
      </c>
      <c r="D7" s="3" t="s">
        <v>9</v>
      </c>
      <c r="E7" s="3" t="n">
        <f aca="false">1207-15</f>
        <v>1192</v>
      </c>
      <c r="F7" s="3" t="n">
        <v>16</v>
      </c>
      <c r="G7" s="3"/>
    </row>
    <row r="8" customFormat="false" ht="15" hidden="false" customHeight="false" outlineLevel="0" collapsed="false">
      <c r="A8" s="3" t="n">
        <v>3</v>
      </c>
      <c r="B8" s="3" t="s">
        <v>223</v>
      </c>
      <c r="C8" s="3" t="s">
        <v>8</v>
      </c>
      <c r="D8" s="3" t="s">
        <v>9</v>
      </c>
      <c r="E8" s="3" t="n">
        <v>5472</v>
      </c>
      <c r="F8" s="3" t="n">
        <v>0</v>
      </c>
      <c r="G8" s="3"/>
    </row>
    <row r="9" customFormat="false" ht="15" hidden="false" customHeight="false" outlineLevel="0" collapsed="false">
      <c r="A9" s="3" t="n">
        <v>4</v>
      </c>
      <c r="B9" s="3" t="s">
        <v>224</v>
      </c>
      <c r="C9" s="3" t="s">
        <v>8</v>
      </c>
      <c r="D9" s="3" t="s">
        <v>9</v>
      </c>
      <c r="E9" s="3" t="n">
        <f aca="false">6938-205</f>
        <v>6733</v>
      </c>
      <c r="F9" s="3" t="n">
        <v>205</v>
      </c>
      <c r="G9" s="3"/>
    </row>
    <row r="10" customFormat="false" ht="15" hidden="false" customHeight="false" outlineLevel="0" collapsed="false">
      <c r="A10" s="3" t="n">
        <v>5</v>
      </c>
      <c r="B10" s="3" t="s">
        <v>225</v>
      </c>
      <c r="C10" s="3" t="s">
        <v>8</v>
      </c>
      <c r="D10" s="3" t="s">
        <v>9</v>
      </c>
      <c r="E10" s="3" t="n">
        <v>3700</v>
      </c>
      <c r="F10" s="3" t="n">
        <v>0</v>
      </c>
      <c r="G10" s="3" t="n">
        <v>90</v>
      </c>
    </row>
    <row r="11" customFormat="false" ht="15" hidden="false" customHeight="false" outlineLevel="0" collapsed="false">
      <c r="A11" s="3" t="n">
        <v>6</v>
      </c>
      <c r="B11" s="3" t="s">
        <v>226</v>
      </c>
      <c r="C11" s="3" t="s">
        <v>8</v>
      </c>
      <c r="D11" s="3" t="s">
        <v>9</v>
      </c>
      <c r="E11" s="3" t="n">
        <v>1949</v>
      </c>
      <c r="F11" s="3" t="n">
        <v>0</v>
      </c>
      <c r="G11" s="3" t="n">
        <v>40</v>
      </c>
    </row>
    <row r="12" customFormat="false" ht="15" hidden="false" customHeight="false" outlineLevel="0" collapsed="false">
      <c r="A12" s="3" t="n">
        <v>7</v>
      </c>
      <c r="B12" s="3" t="s">
        <v>227</v>
      </c>
      <c r="C12" s="3" t="s">
        <v>8</v>
      </c>
      <c r="D12" s="3" t="s">
        <v>9</v>
      </c>
      <c r="E12" s="3"/>
      <c r="F12" s="3"/>
      <c r="G12" s="3"/>
    </row>
    <row r="13" customFormat="false" ht="15" hidden="false" customHeight="false" outlineLevel="0" collapsed="false">
      <c r="A13" s="3" t="n">
        <v>8</v>
      </c>
      <c r="B13" s="3" t="s">
        <v>228</v>
      </c>
      <c r="C13" s="3" t="s">
        <v>8</v>
      </c>
      <c r="D13" s="3" t="s">
        <v>9</v>
      </c>
      <c r="E13" s="3" t="n">
        <v>1788</v>
      </c>
      <c r="F13" s="3" t="n">
        <v>180</v>
      </c>
      <c r="G13" s="3" t="n">
        <v>150</v>
      </c>
    </row>
    <row r="15" customFormat="false" ht="15" hidden="false" customHeight="false" outlineLevel="0" collapsed="false">
      <c r="A15" s="3" t="n">
        <v>8</v>
      </c>
      <c r="B15" s="4" t="s">
        <v>13</v>
      </c>
      <c r="C15" s="3"/>
      <c r="D15" s="3"/>
    </row>
    <row r="16" customFormat="false" ht="15.75" hidden="false" customHeight="true" outlineLevel="0" collapsed="false">
      <c r="A16" s="6" t="n">
        <v>9</v>
      </c>
      <c r="B16" s="6" t="s">
        <v>229</v>
      </c>
      <c r="C16" s="6" t="s">
        <v>230</v>
      </c>
      <c r="D16" s="6" t="s">
        <v>32</v>
      </c>
    </row>
    <row r="17" customFormat="false" ht="15.75" hidden="false" customHeight="true" outlineLevel="0" collapsed="false">
      <c r="A17" s="6" t="n">
        <v>10</v>
      </c>
      <c r="B17" s="6" t="s">
        <v>231</v>
      </c>
      <c r="C17" s="6" t="s">
        <v>230</v>
      </c>
      <c r="D17" s="6" t="s">
        <v>32</v>
      </c>
    </row>
    <row r="18" customFormat="false" ht="15.75" hidden="false" customHeight="true" outlineLevel="0" collapsed="false">
      <c r="A18" s="3" t="n">
        <v>11</v>
      </c>
      <c r="B18" s="6" t="s">
        <v>232</v>
      </c>
      <c r="C18" s="6" t="s">
        <v>230</v>
      </c>
      <c r="D18" s="6" t="s">
        <v>32</v>
      </c>
    </row>
    <row r="19" customFormat="false" ht="15" hidden="false" customHeight="false" outlineLevel="0" collapsed="false">
      <c r="A19" s="6" t="n">
        <v>12</v>
      </c>
      <c r="B19" s="6" t="s">
        <v>233</v>
      </c>
      <c r="C19" s="6" t="s">
        <v>234</v>
      </c>
      <c r="D19" s="6" t="s">
        <v>32</v>
      </c>
    </row>
    <row r="20" customFormat="false" ht="15" hidden="false" customHeight="false" outlineLevel="0" collapsed="false">
      <c r="A20" s="6" t="n">
        <v>13</v>
      </c>
      <c r="B20" s="6" t="s">
        <v>235</v>
      </c>
      <c r="C20" s="6" t="s">
        <v>234</v>
      </c>
      <c r="D20" s="6" t="s">
        <v>32</v>
      </c>
    </row>
    <row r="21" customFormat="false" ht="15" hidden="false" customHeight="false" outlineLevel="0" collapsed="false">
      <c r="A21" s="3" t="n">
        <v>14</v>
      </c>
      <c r="B21" s="6" t="s">
        <v>236</v>
      </c>
      <c r="C21" s="6" t="s">
        <v>234</v>
      </c>
      <c r="D21" s="6" t="s">
        <v>32</v>
      </c>
    </row>
    <row r="22" customFormat="false" ht="15" hidden="false" customHeight="false" outlineLevel="0" collapsed="false">
      <c r="A22" s="6" t="n">
        <v>15</v>
      </c>
      <c r="B22" s="6" t="s">
        <v>237</v>
      </c>
      <c r="C22" s="3" t="s">
        <v>37</v>
      </c>
      <c r="D22" s="6" t="s">
        <v>32</v>
      </c>
    </row>
    <row r="23" customFormat="false" ht="15" hidden="false" customHeight="false" outlineLevel="0" collapsed="false">
      <c r="A23" s="6" t="n">
        <v>16</v>
      </c>
      <c r="B23" s="6" t="s">
        <v>238</v>
      </c>
      <c r="C23" s="3" t="s">
        <v>37</v>
      </c>
      <c r="D23" s="6" t="s">
        <v>32</v>
      </c>
    </row>
    <row r="24" customFormat="false" ht="15" hidden="false" customHeight="false" outlineLevel="0" collapsed="false">
      <c r="A24" s="3" t="n">
        <v>17</v>
      </c>
      <c r="B24" s="3" t="s">
        <v>55</v>
      </c>
      <c r="C24" s="6" t="s">
        <v>56</v>
      </c>
      <c r="D24" s="6" t="s">
        <v>32</v>
      </c>
    </row>
    <row r="25" customFormat="false" ht="15" hidden="false" customHeight="false" outlineLevel="0" collapsed="false">
      <c r="A25" s="6" t="n">
        <v>18</v>
      </c>
      <c r="B25" s="3" t="s">
        <v>57</v>
      </c>
      <c r="C25" s="6" t="s">
        <v>56</v>
      </c>
      <c r="D25" s="6" t="s">
        <v>32</v>
      </c>
    </row>
    <row r="26" customFormat="false" ht="15" hidden="false" customHeight="false" outlineLevel="0" collapsed="false">
      <c r="A26" s="6" t="n">
        <v>19</v>
      </c>
      <c r="B26" s="6" t="s">
        <v>239</v>
      </c>
      <c r="C26" s="6" t="s">
        <v>60</v>
      </c>
      <c r="D26" s="6" t="s">
        <v>32</v>
      </c>
    </row>
    <row r="27" customFormat="false" ht="15" hidden="false" customHeight="false" outlineLevel="0" collapsed="false">
      <c r="A27" s="3" t="n">
        <v>20</v>
      </c>
      <c r="B27" s="6" t="s">
        <v>240</v>
      </c>
      <c r="C27" s="3" t="s">
        <v>42</v>
      </c>
      <c r="D27" s="3" t="s">
        <v>32</v>
      </c>
    </row>
    <row r="28" customFormat="false" ht="15" hidden="false" customHeight="false" outlineLevel="0" collapsed="false">
      <c r="A28" s="6" t="n">
        <v>21</v>
      </c>
      <c r="B28" s="3" t="s">
        <v>41</v>
      </c>
      <c r="C28" s="3" t="s">
        <v>42</v>
      </c>
      <c r="D28" s="3" t="s">
        <v>32</v>
      </c>
    </row>
    <row r="29" customFormat="false" ht="15" hidden="false" customHeight="false" outlineLevel="0" collapsed="false">
      <c r="A29" s="6" t="n">
        <v>22</v>
      </c>
      <c r="B29" s="3" t="s">
        <v>44</v>
      </c>
      <c r="C29" s="3" t="s">
        <v>42</v>
      </c>
      <c r="D29" s="3" t="s">
        <v>32</v>
      </c>
    </row>
    <row r="30" customFormat="false" ht="15" hidden="false" customHeight="false" outlineLevel="0" collapsed="false">
      <c r="A30" s="3" t="n">
        <v>23</v>
      </c>
      <c r="B30" s="3" t="s">
        <v>48</v>
      </c>
      <c r="C30" s="3" t="s">
        <v>49</v>
      </c>
      <c r="D30" s="3" t="s">
        <v>32</v>
      </c>
    </row>
    <row r="31" customFormat="false" ht="15" hidden="false" customHeight="false" outlineLevel="0" collapsed="false">
      <c r="A31" s="6" t="n">
        <v>24</v>
      </c>
      <c r="B31" s="3" t="s">
        <v>50</v>
      </c>
      <c r="C31" s="3" t="s">
        <v>49</v>
      </c>
      <c r="D31" s="3" t="s">
        <v>32</v>
      </c>
    </row>
    <row r="33" customFormat="false" ht="15" hidden="false" customHeight="false" outlineLevel="0" collapsed="false">
      <c r="A33" s="3"/>
      <c r="B33" s="16" t="s">
        <v>159</v>
      </c>
      <c r="C33" s="16" t="s">
        <v>160</v>
      </c>
    </row>
    <row r="34" customFormat="false" ht="14.25" hidden="false" customHeight="true" outlineLevel="0" collapsed="false">
      <c r="A34" s="14" t="n">
        <v>1</v>
      </c>
      <c r="B34" s="3" t="s">
        <v>241</v>
      </c>
      <c r="C34" s="3" t="s">
        <v>242</v>
      </c>
    </row>
    <row r="35" customFormat="false" ht="15" hidden="false" customHeight="false" outlineLevel="0" collapsed="false">
      <c r="A35" s="14" t="n">
        <v>2</v>
      </c>
      <c r="B35" s="3" t="s">
        <v>243</v>
      </c>
      <c r="C35" s="3" t="s">
        <v>244</v>
      </c>
    </row>
    <row r="36" customFormat="false" ht="15" hidden="false" customHeight="false" outlineLevel="0" collapsed="false">
      <c r="A36" s="14" t="n">
        <v>3</v>
      </c>
      <c r="B36" s="3" t="s">
        <v>245</v>
      </c>
      <c r="C36" s="3" t="s">
        <v>246</v>
      </c>
    </row>
    <row r="37" customFormat="false" ht="15" hidden="false" customHeight="false" outlineLevel="0" collapsed="false">
      <c r="A37" s="14" t="n">
        <v>4</v>
      </c>
      <c r="B37" s="3" t="s">
        <v>247</v>
      </c>
      <c r="C37" s="3" t="s">
        <v>248</v>
      </c>
    </row>
    <row r="38" customFormat="false" ht="15" hidden="false" customHeight="false" outlineLevel="0" collapsed="false">
      <c r="A38" s="14" t="n">
        <v>5</v>
      </c>
      <c r="B38" s="3" t="s">
        <v>167</v>
      </c>
      <c r="C38" s="3" t="s">
        <v>249</v>
      </c>
    </row>
    <row r="39" customFormat="false" ht="15" hidden="false" customHeight="false" outlineLevel="0" collapsed="false">
      <c r="A39" s="21"/>
    </row>
    <row r="40" customFormat="false" ht="15" hidden="false" customHeight="false" outlineLevel="0" collapsed="false">
      <c r="A40" s="6"/>
      <c r="B40" s="7" t="s">
        <v>61</v>
      </c>
      <c r="C40" s="6"/>
    </row>
    <row r="41" customFormat="false" ht="77.25" hidden="false" customHeight="true" outlineLevel="0" collapsed="false">
      <c r="A41" s="8" t="n">
        <v>1</v>
      </c>
      <c r="B41" s="9" t="s">
        <v>250</v>
      </c>
      <c r="C41" s="9" t="s">
        <v>251</v>
      </c>
    </row>
    <row r="42" customFormat="false" ht="77.25" hidden="false" customHeight="true" outlineLevel="0" collapsed="false">
      <c r="A42" s="8" t="n">
        <v>2</v>
      </c>
      <c r="B42" s="9" t="s">
        <v>252</v>
      </c>
      <c r="C42" s="9" t="s">
        <v>253</v>
      </c>
    </row>
    <row r="43" customFormat="false" ht="108" hidden="false" customHeight="true" outlineLevel="0" collapsed="false">
      <c r="A43" s="8" t="n">
        <v>3</v>
      </c>
      <c r="B43" s="9" t="s">
        <v>254</v>
      </c>
      <c r="C43" s="9" t="s">
        <v>255</v>
      </c>
    </row>
    <row r="44" customFormat="false" ht="139.5" hidden="false" customHeight="true" outlineLevel="0" collapsed="false">
      <c r="A44" s="8" t="n">
        <v>4</v>
      </c>
      <c r="B44" s="9" t="s">
        <v>256</v>
      </c>
      <c r="C44" s="9" t="s">
        <v>257</v>
      </c>
    </row>
    <row r="45" customFormat="false" ht="77.25" hidden="false" customHeight="true" outlineLevel="0" collapsed="false">
      <c r="A45" s="8" t="n">
        <v>5</v>
      </c>
      <c r="B45" s="9" t="s">
        <v>258</v>
      </c>
      <c r="C45" s="9" t="s">
        <v>259</v>
      </c>
    </row>
    <row r="46" customFormat="false" ht="61.5" hidden="false" customHeight="true" outlineLevel="0" collapsed="false">
      <c r="A46" s="8" t="n">
        <v>6</v>
      </c>
      <c r="B46" s="9" t="s">
        <v>260</v>
      </c>
      <c r="C46" s="9" t="s">
        <v>261</v>
      </c>
    </row>
    <row r="47" customFormat="false" ht="77.25" hidden="false" customHeight="true" outlineLevel="0" collapsed="false">
      <c r="A47" s="8" t="n">
        <v>7</v>
      </c>
      <c r="B47" s="8" t="s">
        <v>262</v>
      </c>
      <c r="C47" s="8" t="s">
        <v>263</v>
      </c>
    </row>
    <row r="49" customFormat="false" ht="15" hidden="false" customHeight="false" outlineLevel="0" collapsed="false">
      <c r="A49" s="10"/>
      <c r="B49" s="11" t="s">
        <v>74</v>
      </c>
      <c r="C49" s="11" t="s">
        <v>75</v>
      </c>
      <c r="D49" s="11" t="s">
        <v>76</v>
      </c>
      <c r="E49" s="11" t="s">
        <v>77</v>
      </c>
    </row>
    <row r="50" customFormat="false" ht="108" hidden="false" customHeight="true" outlineLevel="0" collapsed="false">
      <c r="A50" s="10" t="n">
        <v>1</v>
      </c>
      <c r="B50" s="10" t="s">
        <v>264</v>
      </c>
      <c r="C50" s="10" t="s">
        <v>265</v>
      </c>
      <c r="D50" s="10" t="s">
        <v>266</v>
      </c>
      <c r="E50" s="10" t="s">
        <v>267</v>
      </c>
    </row>
    <row r="51" customFormat="false" ht="201" hidden="false" customHeight="true" outlineLevel="0" collapsed="false">
      <c r="A51" s="10" t="n">
        <v>2</v>
      </c>
      <c r="B51" s="10" t="s">
        <v>268</v>
      </c>
      <c r="C51" s="10" t="s">
        <v>269</v>
      </c>
      <c r="D51" s="10" t="s">
        <v>270</v>
      </c>
      <c r="E51" s="10" t="s">
        <v>271</v>
      </c>
    </row>
    <row r="52" customFormat="false" ht="123.75" hidden="false" customHeight="true" outlineLevel="0" collapsed="false">
      <c r="A52" s="10" t="n">
        <v>3</v>
      </c>
      <c r="B52" s="10" t="s">
        <v>272</v>
      </c>
      <c r="C52" s="10" t="s">
        <v>273</v>
      </c>
      <c r="D52" s="10" t="s">
        <v>274</v>
      </c>
      <c r="E52" s="10" t="s">
        <v>275</v>
      </c>
    </row>
    <row r="53" customFormat="false" ht="201" hidden="false" customHeight="true" outlineLevel="0" collapsed="false">
      <c r="A53" s="10" t="n">
        <v>4</v>
      </c>
      <c r="B53" s="10" t="s">
        <v>276</v>
      </c>
      <c r="C53" s="22" t="s">
        <v>277</v>
      </c>
      <c r="D53" s="10" t="s">
        <v>278</v>
      </c>
      <c r="E53" s="9" t="s">
        <v>279</v>
      </c>
    </row>
    <row r="54" customFormat="false" ht="154.5" hidden="false" customHeight="true" outlineLevel="0" collapsed="false">
      <c r="A54" s="10" t="n">
        <v>5</v>
      </c>
      <c r="B54" s="10" t="s">
        <v>280</v>
      </c>
      <c r="C54" s="10" t="s">
        <v>281</v>
      </c>
      <c r="D54" s="10" t="s">
        <v>282</v>
      </c>
      <c r="E54" s="10" t="s">
        <v>283</v>
      </c>
    </row>
    <row r="55" customFormat="false" ht="216.75" hidden="false" customHeight="true" outlineLevel="0" collapsed="false">
      <c r="A55" s="10" t="n">
        <v>6</v>
      </c>
      <c r="B55" s="10" t="s">
        <v>284</v>
      </c>
      <c r="C55" s="10" t="s">
        <v>285</v>
      </c>
      <c r="D55" s="10" t="s">
        <v>286</v>
      </c>
      <c r="E55" s="10" t="s">
        <v>287</v>
      </c>
    </row>
    <row r="56" customFormat="false" ht="123.75" hidden="false" customHeight="true" outlineLevel="0" collapsed="false">
      <c r="A56" s="10" t="n">
        <v>7</v>
      </c>
      <c r="B56" s="10" t="s">
        <v>288</v>
      </c>
      <c r="C56" s="10" t="s">
        <v>285</v>
      </c>
      <c r="D56" s="10" t="s">
        <v>289</v>
      </c>
      <c r="E56" s="10" t="s">
        <v>290</v>
      </c>
    </row>
    <row r="57" customFormat="false" ht="216.75" hidden="false" customHeight="true" outlineLevel="0" collapsed="false">
      <c r="A57" s="10" t="n">
        <v>8</v>
      </c>
      <c r="B57" s="10" t="s">
        <v>291</v>
      </c>
      <c r="C57" s="10" t="s">
        <v>285</v>
      </c>
      <c r="D57" s="10" t="s">
        <v>292</v>
      </c>
      <c r="E57" s="10" t="s">
        <v>293</v>
      </c>
    </row>
    <row r="58" customFormat="false" ht="232.5" hidden="false" customHeight="true" outlineLevel="0" collapsed="false">
      <c r="A58" s="10" t="n">
        <v>9</v>
      </c>
      <c r="B58" s="10" t="s">
        <v>294</v>
      </c>
      <c r="C58" s="10" t="s">
        <v>295</v>
      </c>
      <c r="D58" s="10" t="s">
        <v>296</v>
      </c>
      <c r="E58" s="10" t="s">
        <v>297</v>
      </c>
    </row>
    <row r="59" customFormat="false" ht="154.5" hidden="false" customHeight="true" outlineLevel="0" collapsed="false">
      <c r="A59" s="10"/>
      <c r="B59" s="10" t="s">
        <v>298</v>
      </c>
      <c r="C59" s="10" t="s">
        <v>299</v>
      </c>
      <c r="D59" s="10" t="s">
        <v>300</v>
      </c>
      <c r="E59" s="10" t="s">
        <v>301</v>
      </c>
    </row>
    <row r="60" customFormat="false" ht="15" hidden="false" customHeight="false" outlineLevel="0" collapsed="false">
      <c r="A60" s="10" t="n">
        <v>10</v>
      </c>
      <c r="B60" s="10"/>
      <c r="C60" s="10"/>
      <c r="D60" s="10"/>
      <c r="E60" s="10"/>
    </row>
    <row r="61" customFormat="false" ht="15" hidden="false" customHeight="false" outlineLevel="0" collapsed="false">
      <c r="A61" s="10" t="n">
        <v>11</v>
      </c>
      <c r="B61" s="10"/>
      <c r="C61" s="10"/>
      <c r="D61" s="10"/>
      <c r="E61" s="10"/>
    </row>
    <row r="62" customFormat="false" ht="15" hidden="false" customHeight="false" outlineLevel="0" collapsed="false">
      <c r="A62" s="10" t="n">
        <v>12</v>
      </c>
      <c r="B62" s="10"/>
      <c r="C62" s="10"/>
      <c r="D62" s="10"/>
      <c r="E62" s="10"/>
    </row>
    <row r="63" customFormat="false" ht="15" hidden="false" customHeight="false" outlineLevel="0" collapsed="false">
      <c r="A63" s="12" t="n">
        <v>13</v>
      </c>
      <c r="B63" s="12"/>
      <c r="C63" s="12"/>
      <c r="D63" s="12"/>
      <c r="E63" s="12"/>
    </row>
    <row r="64" customFormat="false" ht="15" hidden="false" customHeight="false" outlineLevel="0" collapsed="false">
      <c r="A64" s="10" t="n">
        <v>14</v>
      </c>
      <c r="B64" s="10"/>
      <c r="C64" s="10"/>
      <c r="D64" s="10"/>
      <c r="E64" s="10"/>
    </row>
    <row r="65" customFormat="false" ht="15" hidden="false" customHeight="false" outlineLevel="0" collapsed="false">
      <c r="A65" s="10" t="n">
        <v>15</v>
      </c>
      <c r="B65" s="10"/>
      <c r="C65" s="10"/>
      <c r="D65" s="10"/>
      <c r="E65" s="10"/>
    </row>
    <row r="68" customFormat="false" ht="15" hidden="false" customHeight="false" outlineLevel="0" collapsed="false">
      <c r="B68" s="13" t="s">
        <v>131</v>
      </c>
      <c r="C68" s="13"/>
      <c r="D68" s="13"/>
    </row>
    <row r="69" customFormat="false" ht="15" hidden="false" customHeight="false" outlineLevel="0" collapsed="false">
      <c r="A69" s="3"/>
      <c r="B69" s="4" t="s">
        <v>132</v>
      </c>
      <c r="C69" s="11" t="s">
        <v>76</v>
      </c>
      <c r="D69" s="11" t="s">
        <v>77</v>
      </c>
    </row>
    <row r="70" customFormat="false" ht="123.75" hidden="false" customHeight="true" outlineLevel="0" collapsed="false">
      <c r="A70" s="14" t="n">
        <v>1</v>
      </c>
      <c r="B70" s="10" t="s">
        <v>302</v>
      </c>
      <c r="C70" s="10" t="s">
        <v>303</v>
      </c>
      <c r="D70" s="14" t="s">
        <v>304</v>
      </c>
    </row>
    <row r="71" customFormat="false" ht="108" hidden="false" customHeight="true" outlineLevel="0" collapsed="false">
      <c r="A71" s="14" t="n">
        <v>2</v>
      </c>
      <c r="B71" s="10" t="s">
        <v>305</v>
      </c>
      <c r="C71" s="10" t="s">
        <v>306</v>
      </c>
      <c r="D71" s="14" t="s">
        <v>307</v>
      </c>
    </row>
    <row r="72" customFormat="false" ht="93" hidden="false" customHeight="true" outlineLevel="0" collapsed="false">
      <c r="A72" s="14" t="n">
        <v>3</v>
      </c>
      <c r="B72" s="14" t="s">
        <v>308</v>
      </c>
      <c r="C72" s="14" t="s">
        <v>309</v>
      </c>
      <c r="D72" s="14" t="s">
        <v>310</v>
      </c>
    </row>
    <row r="73" customFormat="false" ht="30.75" hidden="false" customHeight="true" outlineLevel="0" collapsed="false">
      <c r="A73" s="14" t="n">
        <v>4</v>
      </c>
      <c r="B73" s="14" t="s">
        <v>311</v>
      </c>
      <c r="C73" s="14" t="s">
        <v>312</v>
      </c>
      <c r="D73" s="14"/>
    </row>
    <row r="74" customFormat="false" ht="93" hidden="false" customHeight="true" outlineLevel="0" collapsed="false">
      <c r="A74" s="14" t="n">
        <v>5</v>
      </c>
      <c r="B74" s="14" t="s">
        <v>313</v>
      </c>
      <c r="C74" s="14" t="s">
        <v>314</v>
      </c>
      <c r="D74" s="14"/>
    </row>
    <row r="75" customFormat="false" ht="15" hidden="false" customHeight="false" outlineLevel="0" collapsed="false">
      <c r="A75" s="14" t="n">
        <v>6</v>
      </c>
      <c r="B75" s="14"/>
      <c r="C75" s="14"/>
      <c r="D75" s="14"/>
    </row>
    <row r="76" customFormat="false" ht="15" hidden="false" customHeight="false" outlineLevel="0" collapsed="false">
      <c r="A76" s="14" t="n">
        <v>7</v>
      </c>
      <c r="B76" s="14"/>
      <c r="C76" s="14"/>
      <c r="D76" s="14"/>
    </row>
    <row r="77" customFormat="false" ht="15" hidden="false" customHeight="false" outlineLevel="0" collapsed="false">
      <c r="A77" s="14" t="n">
        <v>8</v>
      </c>
      <c r="B77" s="14"/>
      <c r="C77" s="14"/>
      <c r="D77" s="14"/>
    </row>
    <row r="78" customFormat="false" ht="15" hidden="false" customHeight="false" outlineLevel="0" collapsed="false">
      <c r="A78" s="14" t="n">
        <v>9</v>
      </c>
      <c r="B78" s="14"/>
      <c r="C78" s="14"/>
      <c r="D78" s="14"/>
    </row>
    <row r="80" customFormat="false" ht="15" hidden="false" customHeight="false" outlineLevel="0" collapsed="false">
      <c r="B80" s="23" t="s">
        <v>142</v>
      </c>
    </row>
    <row r="81" customFormat="false" ht="15" hidden="false" customHeight="false" outlineLevel="0" collapsed="false">
      <c r="B81" s="23" t="s">
        <v>143</v>
      </c>
      <c r="C81" s="23" t="s">
        <v>144</v>
      </c>
      <c r="D81" s="23" t="s">
        <v>145</v>
      </c>
    </row>
    <row r="82" customFormat="false" ht="86.55" hidden="false" customHeight="false" outlineLevel="0" collapsed="false">
      <c r="B82" s="24" t="s">
        <v>315</v>
      </c>
      <c r="C82" s="25" t="s">
        <v>316</v>
      </c>
      <c r="D82" s="24" t="s">
        <v>317</v>
      </c>
    </row>
    <row r="85" customFormat="false" ht="15" hidden="false" customHeight="false" outlineLevel="0" collapsed="false">
      <c r="B85" s="23" t="s">
        <v>203</v>
      </c>
    </row>
    <row r="86" customFormat="false" ht="15" hidden="false" customHeight="false" outlineLevel="0" collapsed="false">
      <c r="B86" s="23" t="s">
        <v>203</v>
      </c>
      <c r="C86" s="23" t="s">
        <v>143</v>
      </c>
      <c r="D86" s="23" t="s">
        <v>205</v>
      </c>
      <c r="E86" s="23" t="s">
        <v>206</v>
      </c>
    </row>
    <row r="87" customFormat="false" ht="15" hidden="false" customHeight="false" outlineLevel="0" collapsed="false">
      <c r="A87" s="24" t="n">
        <v>1</v>
      </c>
      <c r="B87" s="25" t="s">
        <v>318</v>
      </c>
      <c r="C87" s="24" t="s">
        <v>319</v>
      </c>
      <c r="D87" s="24" t="s">
        <v>212</v>
      </c>
      <c r="E87" s="24" t="n">
        <v>30</v>
      </c>
    </row>
    <row r="88" customFormat="false" ht="15" hidden="false" customHeight="false" outlineLevel="0" collapsed="false">
      <c r="A88" s="24" t="n">
        <v>2</v>
      </c>
      <c r="B88" s="25" t="s">
        <v>320</v>
      </c>
      <c r="C88" s="24" t="s">
        <v>321</v>
      </c>
      <c r="D88" s="24" t="s">
        <v>212</v>
      </c>
      <c r="E88" s="24" t="n">
        <v>22</v>
      </c>
    </row>
    <row r="89" customFormat="false" ht="15" hidden="false" customHeight="false" outlineLevel="0" collapsed="false">
      <c r="A89" s="24" t="n">
        <v>3</v>
      </c>
      <c r="B89" s="25" t="s">
        <v>322</v>
      </c>
      <c r="C89" s="24" t="s">
        <v>323</v>
      </c>
      <c r="D89" s="24" t="s">
        <v>212</v>
      </c>
      <c r="E89" s="24" t="n">
        <v>24</v>
      </c>
    </row>
    <row r="90" customFormat="false" ht="44" hidden="false" customHeight="false" outlineLevel="0" collapsed="false">
      <c r="A90" s="24" t="n">
        <v>4</v>
      </c>
      <c r="B90" s="25" t="s">
        <v>324</v>
      </c>
      <c r="C90" s="24" t="s">
        <v>325</v>
      </c>
      <c r="D90" s="24" t="s">
        <v>212</v>
      </c>
      <c r="E90" s="24" t="n">
        <v>637</v>
      </c>
    </row>
    <row r="91" customFormat="false" ht="15" hidden="false" customHeight="false" outlineLevel="0" collapsed="false">
      <c r="A91" s="24" t="n">
        <v>5</v>
      </c>
      <c r="B91" s="25" t="s">
        <v>326</v>
      </c>
      <c r="C91" s="24" t="s">
        <v>327</v>
      </c>
      <c r="D91" s="24" t="s">
        <v>212</v>
      </c>
      <c r="E91" s="24" t="n">
        <v>100</v>
      </c>
    </row>
    <row r="92" customFormat="false" ht="15" hidden="false" customHeight="false" outlineLevel="0" collapsed="false">
      <c r="A92" s="24" t="n">
        <v>6</v>
      </c>
      <c r="B92" s="25" t="s">
        <v>328</v>
      </c>
      <c r="C92" s="24" t="s">
        <v>327</v>
      </c>
      <c r="D92" s="24" t="s">
        <v>212</v>
      </c>
      <c r="E92" s="24" t="n">
        <v>321</v>
      </c>
    </row>
    <row r="93" customFormat="false" ht="44" hidden="false" customHeight="false" outlineLevel="0" collapsed="false">
      <c r="A93" s="24" t="n">
        <v>7</v>
      </c>
      <c r="B93" s="25" t="s">
        <v>329</v>
      </c>
      <c r="C93" s="24" t="s">
        <v>330</v>
      </c>
      <c r="D93" s="24" t="s">
        <v>212</v>
      </c>
      <c r="E93" s="24" t="n">
        <v>149.5</v>
      </c>
    </row>
    <row r="94" customFormat="false" ht="29.85" hidden="false" customHeight="false" outlineLevel="0" collapsed="false">
      <c r="A94" s="24" t="n">
        <v>8</v>
      </c>
      <c r="B94" s="25" t="s">
        <v>331</v>
      </c>
      <c r="C94" s="24" t="s">
        <v>332</v>
      </c>
      <c r="D94" s="24" t="s">
        <v>212</v>
      </c>
      <c r="E94" s="24" t="n">
        <v>68</v>
      </c>
    </row>
    <row r="95" customFormat="false" ht="15" hidden="false" customHeight="false" outlineLevel="0" collapsed="false">
      <c r="A95" s="24" t="n">
        <v>9</v>
      </c>
      <c r="B95" s="25" t="s">
        <v>333</v>
      </c>
      <c r="C95" s="24" t="s">
        <v>319</v>
      </c>
      <c r="D95" s="24" t="s">
        <v>212</v>
      </c>
      <c r="E95" s="24" t="n">
        <v>50</v>
      </c>
    </row>
    <row r="96" customFormat="false" ht="15" hidden="false" customHeight="false" outlineLevel="0" collapsed="false">
      <c r="A96" s="24" t="n">
        <v>10</v>
      </c>
      <c r="B96" s="25" t="s">
        <v>334</v>
      </c>
      <c r="C96" s="24" t="s">
        <v>335</v>
      </c>
      <c r="D96" s="24" t="s">
        <v>212</v>
      </c>
      <c r="E96" s="24" t="n">
        <v>12</v>
      </c>
    </row>
    <row r="97" customFormat="false" ht="15" hidden="false" customHeight="false" outlineLevel="0" collapsed="false">
      <c r="B97" s="23" t="s">
        <v>336</v>
      </c>
      <c r="E97" s="23" t="n">
        <f aca="false">SUM(E87:E96)</f>
        <v>1413.5</v>
      </c>
    </row>
    <row r="99" customFormat="false" ht="35.05" hidden="false" customHeight="true" outlineLevel="0" collapsed="false">
      <c r="B99" s="26" t="s">
        <v>337</v>
      </c>
      <c r="C99" s="26"/>
      <c r="D99" s="26"/>
      <c r="E99" s="26"/>
    </row>
  </sheetData>
  <mergeCells count="3">
    <mergeCell ref="B3:D3"/>
    <mergeCell ref="B68:D68"/>
    <mergeCell ref="B99:E9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74"/>
  <sheetViews>
    <sheetView showFormulas="false" showGridLines="true" showRowColHeaders="true" showZeros="true" rightToLeft="false" tabSelected="false" showOutlineSymbols="true" defaultGridColor="true" view="normal" topLeftCell="A28" colorId="64" zoomScale="56" zoomScaleNormal="56" zoomScalePageLayoutView="100" workbookViewId="0">
      <selection pane="topLeft" activeCell="E46" activeCellId="0" sqref="E46"/>
    </sheetView>
  </sheetViews>
  <sheetFormatPr defaultColWidth="11.07421875" defaultRowHeight="15" zeroHeight="false" outlineLevelRow="0" outlineLevelCol="0"/>
  <cols>
    <col collapsed="false" customWidth="true" hidden="false" outlineLevel="0" max="2" min="2" style="0" width="32.15"/>
    <col collapsed="false" customWidth="true" hidden="false" outlineLevel="0" max="3" min="3" style="0" width="51.15"/>
    <col collapsed="false" customWidth="true" hidden="false" outlineLevel="0" max="4" min="4" style="0" width="23.69"/>
    <col collapsed="false" customWidth="true" hidden="false" outlineLevel="0" max="5" min="5" style="0" width="27.15"/>
  </cols>
  <sheetData>
    <row r="1" customFormat="false" ht="15" hidden="false" customHeight="false" outlineLevel="0" collapsed="false">
      <c r="B1" s="1" t="s">
        <v>0</v>
      </c>
    </row>
    <row r="2" customFormat="false" ht="237" hidden="false" customHeight="true" outlineLevel="0" collapsed="false">
      <c r="B2" s="2" t="s">
        <v>338</v>
      </c>
      <c r="C2" s="2"/>
      <c r="D2" s="2"/>
    </row>
    <row r="4" customFormat="false" ht="15" hidden="false" customHeight="false" outlineLevel="0" collapsed="false">
      <c r="A4" s="27"/>
      <c r="B4" s="28" t="s">
        <v>2</v>
      </c>
      <c r="C4" s="27"/>
      <c r="D4" s="27"/>
    </row>
    <row r="5" customFormat="false" ht="15" hidden="false" customHeight="false" outlineLevel="0" collapsed="false">
      <c r="A5" s="27" t="n">
        <v>1</v>
      </c>
      <c r="B5" s="27" t="s">
        <v>339</v>
      </c>
      <c r="C5" s="27" t="s">
        <v>8</v>
      </c>
      <c r="D5" s="27" t="s">
        <v>9</v>
      </c>
    </row>
    <row r="6" customFormat="false" ht="15" hidden="false" customHeight="false" outlineLevel="0" collapsed="false">
      <c r="A6" s="27" t="n">
        <v>2</v>
      </c>
      <c r="B6" s="27" t="s">
        <v>340</v>
      </c>
      <c r="C6" s="27" t="s">
        <v>8</v>
      </c>
      <c r="D6" s="27" t="s">
        <v>9</v>
      </c>
    </row>
    <row r="7" customFormat="false" ht="15" hidden="false" customHeight="false" outlineLevel="0" collapsed="false">
      <c r="A7" s="27" t="n">
        <v>3</v>
      </c>
      <c r="B7" s="27" t="s">
        <v>341</v>
      </c>
      <c r="C7" s="27" t="s">
        <v>8</v>
      </c>
      <c r="D7" s="27" t="s">
        <v>9</v>
      </c>
    </row>
    <row r="8" customFormat="false" ht="15" hidden="false" customHeight="false" outlineLevel="0" collapsed="false">
      <c r="A8" s="27" t="n">
        <v>4</v>
      </c>
      <c r="B8" s="27" t="s">
        <v>342</v>
      </c>
      <c r="C8" s="27" t="s">
        <v>8</v>
      </c>
      <c r="D8" s="27" t="s">
        <v>9</v>
      </c>
    </row>
    <row r="9" customFormat="false" ht="15" hidden="false" customHeight="false" outlineLevel="0" collapsed="false">
      <c r="A9" s="27" t="n">
        <v>5</v>
      </c>
      <c r="B9" s="27" t="s">
        <v>343</v>
      </c>
      <c r="C9" s="27" t="s">
        <v>8</v>
      </c>
      <c r="D9" s="27" t="s">
        <v>9</v>
      </c>
    </row>
    <row r="10" customFormat="false" ht="15" hidden="false" customHeight="false" outlineLevel="0" collapsed="false">
      <c r="A10" s="27" t="n">
        <v>6</v>
      </c>
      <c r="B10" s="27" t="s">
        <v>344</v>
      </c>
      <c r="C10" s="27" t="s">
        <v>8</v>
      </c>
      <c r="D10" s="27" t="s">
        <v>9</v>
      </c>
    </row>
    <row r="11" customFormat="false" ht="15" hidden="false" customHeight="false" outlineLevel="0" collapsed="false">
      <c r="A11" s="27"/>
      <c r="B11" s="27"/>
      <c r="C11" s="27"/>
      <c r="D11" s="27"/>
    </row>
    <row r="12" customFormat="false" ht="15" hidden="false" customHeight="false" outlineLevel="0" collapsed="false">
      <c r="A12" s="27"/>
      <c r="B12" s="27"/>
      <c r="C12" s="27"/>
      <c r="D12" s="27"/>
    </row>
    <row r="13" customFormat="false" ht="15" hidden="false" customHeight="false" outlineLevel="0" collapsed="false">
      <c r="A13" s="27"/>
      <c r="B13" s="28" t="s">
        <v>13</v>
      </c>
      <c r="C13" s="27"/>
      <c r="D13" s="27"/>
    </row>
    <row r="14" customFormat="false" ht="15.75" hidden="false" customHeight="true" outlineLevel="0" collapsed="false">
      <c r="A14" s="27" t="n">
        <v>7</v>
      </c>
      <c r="B14" s="27" t="s">
        <v>345</v>
      </c>
      <c r="C14" s="27" t="s">
        <v>230</v>
      </c>
      <c r="D14" s="27" t="s">
        <v>32</v>
      </c>
    </row>
    <row r="15" customFormat="false" ht="15.75" hidden="false" customHeight="true" outlineLevel="0" collapsed="false">
      <c r="A15" s="27" t="n">
        <v>8</v>
      </c>
      <c r="B15" s="27" t="s">
        <v>346</v>
      </c>
      <c r="C15" s="27" t="s">
        <v>230</v>
      </c>
      <c r="D15" s="27" t="s">
        <v>32</v>
      </c>
    </row>
    <row r="16" customFormat="false" ht="15.75" hidden="false" customHeight="true" outlineLevel="0" collapsed="false">
      <c r="A16" s="27" t="n">
        <v>9</v>
      </c>
      <c r="B16" s="27" t="s">
        <v>347</v>
      </c>
      <c r="C16" s="27" t="s">
        <v>230</v>
      </c>
      <c r="D16" s="27" t="s">
        <v>32</v>
      </c>
    </row>
    <row r="17" customFormat="false" ht="15" hidden="false" customHeight="false" outlineLevel="0" collapsed="false">
      <c r="A17" s="27" t="n">
        <v>10</v>
      </c>
      <c r="B17" s="27" t="s">
        <v>348</v>
      </c>
      <c r="C17" s="27" t="s">
        <v>234</v>
      </c>
      <c r="D17" s="27" t="s">
        <v>32</v>
      </c>
    </row>
    <row r="18" customFormat="false" ht="15" hidden="false" customHeight="false" outlineLevel="0" collapsed="false">
      <c r="A18" s="27" t="n">
        <v>11</v>
      </c>
      <c r="B18" s="27" t="s">
        <v>349</v>
      </c>
      <c r="C18" s="27" t="s">
        <v>350</v>
      </c>
      <c r="D18" s="27" t="s">
        <v>32</v>
      </c>
    </row>
    <row r="19" customFormat="false" ht="15" hidden="false" customHeight="false" outlineLevel="0" collapsed="false">
      <c r="A19" s="27" t="n">
        <v>12</v>
      </c>
      <c r="B19" s="27" t="s">
        <v>351</v>
      </c>
      <c r="C19" s="0" t="s">
        <v>37</v>
      </c>
      <c r="D19" s="27" t="s">
        <v>32</v>
      </c>
    </row>
    <row r="20" customFormat="false" ht="15" hidden="false" customHeight="false" outlineLevel="0" collapsed="false">
      <c r="A20" s="27" t="n">
        <v>13</v>
      </c>
      <c r="B20" s="27" t="s">
        <v>352</v>
      </c>
      <c r="C20" s="0" t="s">
        <v>37</v>
      </c>
      <c r="D20" s="27" t="s">
        <v>32</v>
      </c>
    </row>
    <row r="21" customFormat="false" ht="15" hidden="false" customHeight="false" outlineLevel="0" collapsed="false">
      <c r="A21" s="27" t="n">
        <v>14</v>
      </c>
      <c r="B21" s="27" t="s">
        <v>353</v>
      </c>
      <c r="C21" s="0" t="s">
        <v>42</v>
      </c>
      <c r="D21" s="0" t="s">
        <v>32</v>
      </c>
    </row>
    <row r="22" customFormat="false" ht="15" hidden="false" customHeight="true" outlineLevel="0" collapsed="false">
      <c r="A22" s="27" t="n">
        <v>15</v>
      </c>
      <c r="B22" s="0" t="s">
        <v>44</v>
      </c>
      <c r="C22" s="0" t="s">
        <v>42</v>
      </c>
      <c r="D22" s="0" t="s">
        <v>32</v>
      </c>
      <c r="F22" s="29" t="s">
        <v>354</v>
      </c>
      <c r="G22" s="29"/>
      <c r="H22" s="29"/>
      <c r="I22" s="29"/>
      <c r="J22" s="29"/>
      <c r="K22" s="29"/>
      <c r="L22" s="29"/>
      <c r="M22" s="29"/>
      <c r="N22" s="29"/>
      <c r="O22" s="29"/>
    </row>
    <row r="23" customFormat="false" ht="15" hidden="false" customHeight="false" outlineLevel="0" collapsed="false">
      <c r="A23" s="27" t="n">
        <v>16</v>
      </c>
      <c r="B23" s="0" t="s">
        <v>41</v>
      </c>
      <c r="C23" s="0" t="s">
        <v>42</v>
      </c>
      <c r="D23" s="0" t="s">
        <v>32</v>
      </c>
      <c r="F23" s="29"/>
      <c r="G23" s="29"/>
      <c r="H23" s="29"/>
      <c r="I23" s="29"/>
      <c r="J23" s="29"/>
      <c r="K23" s="29"/>
      <c r="L23" s="29"/>
      <c r="M23" s="29"/>
      <c r="N23" s="29"/>
      <c r="O23" s="29"/>
    </row>
    <row r="24" customFormat="false" ht="15" hidden="false" customHeight="false" outlineLevel="0" collapsed="false">
      <c r="A24" s="27" t="n">
        <v>17</v>
      </c>
      <c r="B24" s="0" t="s">
        <v>48</v>
      </c>
      <c r="C24" s="0" t="s">
        <v>49</v>
      </c>
      <c r="D24" s="0" t="s">
        <v>32</v>
      </c>
      <c r="F24" s="29"/>
      <c r="G24" s="29"/>
      <c r="H24" s="29"/>
      <c r="I24" s="29"/>
      <c r="J24" s="29"/>
      <c r="K24" s="29"/>
      <c r="L24" s="29"/>
      <c r="M24" s="29"/>
      <c r="N24" s="29"/>
      <c r="O24" s="29"/>
    </row>
    <row r="25" customFormat="false" ht="15" hidden="false" customHeight="false" outlineLevel="0" collapsed="false">
      <c r="A25" s="27" t="n">
        <v>18</v>
      </c>
      <c r="B25" s="0" t="s">
        <v>50</v>
      </c>
      <c r="C25" s="0" t="s">
        <v>49</v>
      </c>
      <c r="D25" s="0" t="s">
        <v>32</v>
      </c>
      <c r="F25" s="29"/>
      <c r="G25" s="29"/>
      <c r="H25" s="29"/>
      <c r="I25" s="29"/>
      <c r="J25" s="29"/>
      <c r="K25" s="29"/>
      <c r="L25" s="29"/>
      <c r="M25" s="29"/>
      <c r="N25" s="29"/>
      <c r="O25" s="29"/>
    </row>
    <row r="26" customFormat="false" ht="15" hidden="false" customHeight="false" outlineLevel="0" collapsed="false">
      <c r="A26" s="27"/>
      <c r="F26" s="29"/>
      <c r="G26" s="29"/>
      <c r="H26" s="29"/>
      <c r="I26" s="29"/>
      <c r="J26" s="29"/>
      <c r="K26" s="29"/>
      <c r="L26" s="29"/>
      <c r="M26" s="29"/>
      <c r="N26" s="29"/>
      <c r="O26" s="29"/>
    </row>
    <row r="27" customFormat="false" ht="15" hidden="false" customHeight="false" outlineLevel="0" collapsed="false">
      <c r="A27" s="3"/>
      <c r="B27" s="16" t="s">
        <v>159</v>
      </c>
      <c r="F27" s="29"/>
      <c r="G27" s="29"/>
      <c r="H27" s="29"/>
      <c r="I27" s="29"/>
      <c r="J27" s="29"/>
      <c r="K27" s="29"/>
      <c r="L27" s="29"/>
      <c r="M27" s="29"/>
      <c r="N27" s="29"/>
      <c r="O27" s="29"/>
    </row>
    <row r="28" customFormat="false" ht="15" hidden="false" customHeight="false" outlineLevel="0" collapsed="false">
      <c r="A28" s="14" t="n">
        <v>1</v>
      </c>
      <c r="B28" s="3" t="s">
        <v>165</v>
      </c>
      <c r="F28" s="29"/>
      <c r="G28" s="29"/>
      <c r="H28" s="29"/>
      <c r="I28" s="29"/>
      <c r="J28" s="29"/>
      <c r="K28" s="29"/>
      <c r="L28" s="29"/>
      <c r="M28" s="29"/>
      <c r="N28" s="29"/>
      <c r="O28" s="29"/>
    </row>
    <row r="29" customFormat="false" ht="15" hidden="false" customHeight="false" outlineLevel="0" collapsed="false">
      <c r="A29" s="14" t="n">
        <v>2</v>
      </c>
      <c r="B29" s="3" t="s">
        <v>355</v>
      </c>
      <c r="F29" s="29"/>
      <c r="G29" s="29"/>
      <c r="H29" s="29"/>
      <c r="I29" s="29"/>
      <c r="J29" s="29"/>
      <c r="K29" s="29"/>
      <c r="L29" s="29"/>
      <c r="M29" s="29"/>
      <c r="N29" s="29"/>
      <c r="O29" s="29"/>
    </row>
    <row r="30" customFormat="false" ht="15" hidden="false" customHeight="false" outlineLevel="0" collapsed="false">
      <c r="A30" s="14" t="n">
        <v>3</v>
      </c>
      <c r="B30" s="3" t="s">
        <v>356</v>
      </c>
      <c r="F30" s="29"/>
      <c r="G30" s="29"/>
      <c r="H30" s="29"/>
      <c r="I30" s="29"/>
      <c r="J30" s="29"/>
      <c r="K30" s="29"/>
      <c r="L30" s="29"/>
      <c r="M30" s="29"/>
      <c r="N30" s="29"/>
      <c r="O30" s="29"/>
    </row>
    <row r="31" customFormat="false" ht="15" hidden="false" customHeight="false" outlineLevel="0" collapsed="false">
      <c r="A31" s="14" t="n">
        <v>4</v>
      </c>
      <c r="B31" s="3" t="s">
        <v>357</v>
      </c>
      <c r="F31" s="29"/>
      <c r="G31" s="29"/>
      <c r="H31" s="29"/>
      <c r="I31" s="29"/>
      <c r="J31" s="29"/>
      <c r="K31" s="29"/>
      <c r="L31" s="29"/>
      <c r="M31" s="29"/>
      <c r="N31" s="29"/>
      <c r="O31" s="29"/>
    </row>
    <row r="32" customFormat="false" ht="15" hidden="false" customHeight="false" outlineLevel="0" collapsed="false">
      <c r="A32" s="14" t="n">
        <v>5</v>
      </c>
      <c r="B32" s="3" t="s">
        <v>358</v>
      </c>
      <c r="C32" s="27"/>
      <c r="D32" s="27"/>
      <c r="F32" s="29"/>
      <c r="G32" s="29"/>
      <c r="H32" s="29"/>
      <c r="I32" s="29"/>
      <c r="J32" s="29"/>
      <c r="K32" s="29"/>
      <c r="L32" s="29"/>
      <c r="M32" s="29"/>
      <c r="N32" s="29"/>
      <c r="O32" s="29"/>
    </row>
    <row r="33" customFormat="false" ht="15" hidden="false" customHeight="false" outlineLevel="0" collapsed="false">
      <c r="A33" s="14" t="n">
        <v>6</v>
      </c>
      <c r="B33" s="3" t="s">
        <v>359</v>
      </c>
      <c r="C33" s="27"/>
      <c r="D33" s="27"/>
      <c r="F33" s="29"/>
      <c r="G33" s="29"/>
      <c r="H33" s="29"/>
      <c r="I33" s="29"/>
      <c r="J33" s="29"/>
      <c r="K33" s="29"/>
      <c r="L33" s="29"/>
      <c r="M33" s="29"/>
      <c r="N33" s="29"/>
      <c r="O33" s="29"/>
    </row>
    <row r="34" customFormat="false" ht="15" hidden="false" customHeight="false" outlineLevel="0" collapsed="false">
      <c r="A34" s="14"/>
      <c r="B34" s="3"/>
      <c r="C34" s="27"/>
      <c r="D34" s="27"/>
      <c r="F34" s="29"/>
      <c r="G34" s="29"/>
      <c r="H34" s="29"/>
      <c r="I34" s="29"/>
      <c r="J34" s="29"/>
      <c r="K34" s="29"/>
      <c r="L34" s="29"/>
      <c r="M34" s="29"/>
      <c r="N34" s="29"/>
      <c r="O34" s="29"/>
    </row>
    <row r="35" customFormat="false" ht="15" hidden="false" customHeight="false" outlineLevel="0" collapsed="false">
      <c r="A35" s="6"/>
      <c r="B35" s="7" t="s">
        <v>61</v>
      </c>
      <c r="C35" s="6"/>
    </row>
    <row r="36" customFormat="false" ht="77.25" hidden="false" customHeight="true" outlineLevel="0" collapsed="false">
      <c r="A36" s="8" t="n">
        <v>1</v>
      </c>
      <c r="B36" s="9" t="s">
        <v>360</v>
      </c>
      <c r="C36" s="9" t="s">
        <v>361</v>
      </c>
    </row>
    <row r="37" customFormat="false" ht="93" hidden="false" customHeight="true" outlineLevel="0" collapsed="false">
      <c r="A37" s="8" t="n">
        <v>2</v>
      </c>
      <c r="B37" s="9" t="s">
        <v>362</v>
      </c>
      <c r="C37" s="9" t="s">
        <v>363</v>
      </c>
    </row>
    <row r="38" customFormat="false" ht="61.5" hidden="false" customHeight="true" outlineLevel="0" collapsed="false">
      <c r="A38" s="8" t="n">
        <v>3</v>
      </c>
      <c r="B38" s="9" t="s">
        <v>364</v>
      </c>
      <c r="C38" s="9" t="s">
        <v>365</v>
      </c>
    </row>
    <row r="39" customFormat="false" ht="61.5" hidden="false" customHeight="true" outlineLevel="0" collapsed="false">
      <c r="A39" s="8" t="n">
        <v>4</v>
      </c>
      <c r="B39" s="9" t="s">
        <v>366</v>
      </c>
      <c r="C39" s="9" t="s">
        <v>367</v>
      </c>
    </row>
    <row r="40" customFormat="false" ht="77.25" hidden="false" customHeight="true" outlineLevel="0" collapsed="false">
      <c r="A40" s="8" t="n">
        <v>5</v>
      </c>
      <c r="B40" s="9" t="s">
        <v>368</v>
      </c>
      <c r="C40" s="9" t="s">
        <v>369</v>
      </c>
    </row>
    <row r="41" customFormat="false" ht="77.25" hidden="false" customHeight="true" outlineLevel="0" collapsed="false">
      <c r="A41" s="8" t="n">
        <v>6</v>
      </c>
      <c r="B41" s="9" t="s">
        <v>370</v>
      </c>
      <c r="C41" s="9" t="s">
        <v>371</v>
      </c>
    </row>
    <row r="45" customFormat="false" ht="15" hidden="false" customHeight="false" outlineLevel="0" collapsed="false">
      <c r="A45" s="10"/>
      <c r="B45" s="11" t="s">
        <v>74</v>
      </c>
      <c r="C45" s="11" t="s">
        <v>76</v>
      </c>
      <c r="D45" s="11" t="s">
        <v>372</v>
      </c>
    </row>
    <row r="46" customFormat="false" ht="112.5" hidden="false" customHeight="true" outlineLevel="0" collapsed="false">
      <c r="A46" s="10" t="n">
        <v>1</v>
      </c>
      <c r="B46" s="10" t="s">
        <v>373</v>
      </c>
      <c r="C46" s="10" t="s">
        <v>374</v>
      </c>
      <c r="D46" s="10" t="s">
        <v>375</v>
      </c>
    </row>
    <row r="47" customFormat="false" ht="112.5" hidden="false" customHeight="true" outlineLevel="0" collapsed="false">
      <c r="A47" s="10" t="n">
        <v>2</v>
      </c>
      <c r="B47" s="10" t="s">
        <v>376</v>
      </c>
      <c r="C47" s="10" t="s">
        <v>377</v>
      </c>
      <c r="D47" s="10" t="s">
        <v>378</v>
      </c>
    </row>
    <row r="48" customFormat="false" ht="112.5" hidden="false" customHeight="true" outlineLevel="0" collapsed="false">
      <c r="A48" s="10" t="n">
        <v>3</v>
      </c>
      <c r="B48" s="10" t="s">
        <v>379</v>
      </c>
      <c r="C48" s="10" t="s">
        <v>380</v>
      </c>
      <c r="D48" s="10" t="s">
        <v>381</v>
      </c>
    </row>
    <row r="49" customFormat="false" ht="112.5" hidden="false" customHeight="true" outlineLevel="0" collapsed="false">
      <c r="A49" s="10" t="n">
        <v>4</v>
      </c>
      <c r="B49" s="10" t="s">
        <v>382</v>
      </c>
      <c r="C49" s="10" t="s">
        <v>383</v>
      </c>
      <c r="D49" s="30" t="s">
        <v>384</v>
      </c>
    </row>
    <row r="50" customFormat="false" ht="112.5" hidden="false" customHeight="true" outlineLevel="0" collapsed="false">
      <c r="A50" s="10" t="n">
        <v>5</v>
      </c>
      <c r="B50" s="10" t="s">
        <v>385</v>
      </c>
      <c r="C50" s="10" t="s">
        <v>386</v>
      </c>
      <c r="D50" s="10" t="s">
        <v>387</v>
      </c>
    </row>
    <row r="51" customFormat="false" ht="112.5" hidden="false" customHeight="true" outlineLevel="0" collapsed="false">
      <c r="A51" s="10" t="n">
        <v>6</v>
      </c>
      <c r="B51" s="10" t="s">
        <v>388</v>
      </c>
      <c r="C51" s="10" t="s">
        <v>389</v>
      </c>
      <c r="D51" s="10" t="s">
        <v>390</v>
      </c>
    </row>
    <row r="52" customFormat="false" ht="112.5" hidden="false" customHeight="true" outlineLevel="0" collapsed="false">
      <c r="A52" s="10" t="n">
        <v>7</v>
      </c>
      <c r="B52" s="10" t="s">
        <v>391</v>
      </c>
      <c r="C52" s="10" t="s">
        <v>392</v>
      </c>
      <c r="D52" s="10" t="s">
        <v>393</v>
      </c>
    </row>
    <row r="53" customFormat="false" ht="112.5" hidden="false" customHeight="true" outlineLevel="0" collapsed="false">
      <c r="A53" s="12" t="n">
        <v>8</v>
      </c>
      <c r="B53" s="12" t="s">
        <v>394</v>
      </c>
      <c r="C53" s="12" t="s">
        <v>395</v>
      </c>
      <c r="D53" s="31" t="s">
        <v>396</v>
      </c>
    </row>
    <row r="54" customFormat="false" ht="112.5" hidden="false" customHeight="true" outlineLevel="0" collapsed="false">
      <c r="A54" s="10" t="n">
        <v>9</v>
      </c>
      <c r="B54" s="10" t="s">
        <v>397</v>
      </c>
      <c r="C54" s="10" t="s">
        <v>398</v>
      </c>
      <c r="D54" s="30" t="s">
        <v>399</v>
      </c>
    </row>
    <row r="55" customFormat="false" ht="112.5" hidden="false" customHeight="true" outlineLevel="0" collapsed="false">
      <c r="A55" s="12" t="n">
        <v>10</v>
      </c>
      <c r="B55" s="12" t="s">
        <v>400</v>
      </c>
      <c r="C55" s="12" t="s">
        <v>401</v>
      </c>
      <c r="D55" s="32" t="s">
        <v>402</v>
      </c>
    </row>
    <row r="56" customFormat="false" ht="15" hidden="false" customHeight="false" outlineLevel="0" collapsed="false">
      <c r="B56" s="33"/>
      <c r="C56" s="33"/>
      <c r="D56" s="33"/>
    </row>
    <row r="57" customFormat="false" ht="15" hidden="false" customHeight="false" outlineLevel="0" collapsed="false">
      <c r="B57" s="33"/>
      <c r="C57" s="33"/>
      <c r="D57" s="33"/>
    </row>
    <row r="58" customFormat="false" ht="15" hidden="false" customHeight="true" outlineLevel="0" collapsed="false">
      <c r="B58" s="34" t="s">
        <v>131</v>
      </c>
      <c r="C58" s="34"/>
      <c r="D58" s="34"/>
    </row>
    <row r="59" customFormat="false" ht="15" hidden="false" customHeight="false" outlineLevel="0" collapsed="false">
      <c r="A59" s="3"/>
      <c r="B59" s="35" t="s">
        <v>132</v>
      </c>
      <c r="C59" s="11" t="s">
        <v>76</v>
      </c>
      <c r="D59" s="11"/>
    </row>
    <row r="60" customFormat="false" ht="154.5" hidden="false" customHeight="true" outlineLevel="0" collapsed="false">
      <c r="A60" s="14" t="n">
        <v>1</v>
      </c>
      <c r="B60" s="10" t="s">
        <v>403</v>
      </c>
      <c r="C60" s="10" t="s">
        <v>404</v>
      </c>
      <c r="D60" s="14"/>
    </row>
    <row r="63" customFormat="false" ht="15" hidden="false" customHeight="false" outlineLevel="0" collapsed="false">
      <c r="A63" s="36"/>
      <c r="B63" s="36" t="s">
        <v>405</v>
      </c>
      <c r="C63" s="36" t="s">
        <v>406</v>
      </c>
      <c r="D63" s="36" t="s">
        <v>407</v>
      </c>
      <c r="E63" s="36" t="s">
        <v>408</v>
      </c>
    </row>
    <row r="64" customFormat="false" ht="110.25" hidden="false" customHeight="true" outlineLevel="0" collapsed="false">
      <c r="A64" s="36" t="s">
        <v>409</v>
      </c>
      <c r="B64" s="9" t="s">
        <v>410</v>
      </c>
      <c r="C64" s="9" t="s">
        <v>411</v>
      </c>
      <c r="D64" s="9" t="s">
        <v>412</v>
      </c>
      <c r="E64" s="9" t="s">
        <v>413</v>
      </c>
    </row>
    <row r="68" customFormat="false" ht="15" hidden="false" customHeight="false" outlineLevel="0" collapsed="false">
      <c r="A68" s="37" t="s">
        <v>414</v>
      </c>
      <c r="B68" s="37"/>
    </row>
    <row r="69" customFormat="false" ht="15" hidden="false" customHeight="false" outlineLevel="0" collapsed="false">
      <c r="A69" s="3" t="n">
        <v>1</v>
      </c>
      <c r="B69" s="3" t="s">
        <v>415</v>
      </c>
    </row>
    <row r="70" customFormat="false" ht="15" hidden="false" customHeight="false" outlineLevel="0" collapsed="false">
      <c r="A70" s="3" t="n">
        <v>2</v>
      </c>
      <c r="B70" s="3" t="s">
        <v>416</v>
      </c>
    </row>
    <row r="71" customFormat="false" ht="15" hidden="false" customHeight="false" outlineLevel="0" collapsed="false">
      <c r="A71" s="3" t="n">
        <v>3</v>
      </c>
      <c r="B71" s="3" t="s">
        <v>417</v>
      </c>
    </row>
    <row r="72" customFormat="false" ht="15" hidden="false" customHeight="false" outlineLevel="0" collapsed="false">
      <c r="A72" s="3" t="n">
        <v>4</v>
      </c>
      <c r="B72" s="3" t="s">
        <v>418</v>
      </c>
    </row>
    <row r="73" customFormat="false" ht="15" hidden="false" customHeight="false" outlineLevel="0" collapsed="false">
      <c r="A73" s="3" t="n">
        <v>5</v>
      </c>
      <c r="B73" s="3" t="s">
        <v>419</v>
      </c>
    </row>
    <row r="74" customFormat="false" ht="15" hidden="false" customHeight="false" outlineLevel="0" collapsed="false">
      <c r="A74" s="3" t="n">
        <v>6</v>
      </c>
      <c r="B74" s="3" t="s">
        <v>420</v>
      </c>
    </row>
  </sheetData>
  <mergeCells count="4">
    <mergeCell ref="B2:D2"/>
    <mergeCell ref="F22:O34"/>
    <mergeCell ref="B58:D58"/>
    <mergeCell ref="A68:B6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61"/>
  <sheetViews>
    <sheetView showFormulas="false" showGridLines="true" showRowColHeaders="true" showZeros="true" rightToLeft="false" tabSelected="false" showOutlineSymbols="true" defaultGridColor="true" view="normal" topLeftCell="A27" colorId="64" zoomScale="77" zoomScaleNormal="77" zoomScalePageLayoutView="100" workbookViewId="0">
      <selection pane="topLeft" activeCell="E38" activeCellId="0" sqref="E38"/>
    </sheetView>
  </sheetViews>
  <sheetFormatPr defaultColWidth="11.07421875" defaultRowHeight="15" zeroHeight="false" outlineLevelRow="0" outlineLevelCol="0"/>
  <cols>
    <col collapsed="false" customWidth="true" hidden="false" outlineLevel="0" max="2" min="2" style="0" width="41.31"/>
    <col collapsed="false" customWidth="true" hidden="false" outlineLevel="0" max="3" min="3" style="0" width="46.46"/>
    <col collapsed="false" customWidth="true" hidden="false" outlineLevel="0" max="4" min="4" style="0" width="41.84"/>
    <col collapsed="false" customWidth="true" hidden="false" outlineLevel="0" max="5" min="5" style="0" width="38"/>
    <col collapsed="false" customWidth="true" hidden="false" outlineLevel="0" max="6" min="6" style="0" width="24.84"/>
    <col collapsed="false" customWidth="true" hidden="false" outlineLevel="0" max="7" min="7" style="0" width="61.07"/>
  </cols>
  <sheetData>
    <row r="1" customFormat="false" ht="15" hidden="false" customHeight="false" outlineLevel="0" collapsed="false">
      <c r="B1" s="1" t="s">
        <v>0</v>
      </c>
    </row>
    <row r="2" customFormat="false" ht="57" hidden="false" customHeight="true" outlineLevel="0" collapsed="false">
      <c r="B2" s="2" t="s">
        <v>421</v>
      </c>
      <c r="C2" s="2"/>
      <c r="D2" s="2"/>
    </row>
    <row r="4" customFormat="false" ht="15" hidden="false" customHeight="false" outlineLevel="0" collapsed="false">
      <c r="A4" s="6"/>
      <c r="B4" s="7" t="s">
        <v>2</v>
      </c>
      <c r="C4" s="6"/>
      <c r="D4" s="6"/>
      <c r="E4" s="7" t="s">
        <v>4</v>
      </c>
      <c r="F4" s="7" t="s">
        <v>5</v>
      </c>
      <c r="G4" s="7" t="s">
        <v>6</v>
      </c>
      <c r="H4" s="28"/>
      <c r="I4" s="28"/>
      <c r="J4" s="28"/>
      <c r="K4" s="28"/>
    </row>
    <row r="5" customFormat="false" ht="15" hidden="false" customHeight="false" outlineLevel="0" collapsed="false">
      <c r="A5" s="6" t="n">
        <v>1</v>
      </c>
      <c r="B5" s="6" t="s">
        <v>422</v>
      </c>
      <c r="C5" s="6" t="s">
        <v>8</v>
      </c>
      <c r="D5" s="6" t="s">
        <v>9</v>
      </c>
      <c r="E5" s="38" t="s">
        <v>423</v>
      </c>
      <c r="F5" s="38"/>
      <c r="G5" s="38"/>
    </row>
    <row r="6" customFormat="false" ht="15" hidden="false" customHeight="false" outlineLevel="0" collapsed="false">
      <c r="A6" s="6" t="n">
        <v>2</v>
      </c>
      <c r="B6" s="6" t="s">
        <v>424</v>
      </c>
      <c r="C6" s="6" t="s">
        <v>8</v>
      </c>
      <c r="D6" s="6" t="s">
        <v>9</v>
      </c>
      <c r="E6" s="38" t="n">
        <v>2446</v>
      </c>
      <c r="F6" s="38" t="n">
        <v>34</v>
      </c>
      <c r="G6" s="38" t="s">
        <v>425</v>
      </c>
    </row>
    <row r="7" customFormat="false" ht="15" hidden="false" customHeight="false" outlineLevel="0" collapsed="false">
      <c r="A7" s="6" t="n">
        <v>3</v>
      </c>
      <c r="B7" s="6" t="s">
        <v>426</v>
      </c>
      <c r="C7" s="6" t="s">
        <v>8</v>
      </c>
      <c r="D7" s="6" t="s">
        <v>9</v>
      </c>
      <c r="E7" s="38" t="n">
        <v>2694</v>
      </c>
      <c r="F7" s="38" t="n">
        <v>31</v>
      </c>
      <c r="G7" s="38" t="s">
        <v>427</v>
      </c>
    </row>
    <row r="8" customFormat="false" ht="15" hidden="false" customHeight="false" outlineLevel="0" collapsed="false">
      <c r="A8" s="6" t="n">
        <v>4</v>
      </c>
      <c r="B8" s="6" t="s">
        <v>428</v>
      </c>
      <c r="C8" s="6" t="s">
        <v>8</v>
      </c>
      <c r="D8" s="6" t="s">
        <v>9</v>
      </c>
      <c r="E8" s="38" t="s">
        <v>429</v>
      </c>
      <c r="F8" s="38" t="s">
        <v>430</v>
      </c>
      <c r="G8" s="38" t="s">
        <v>425</v>
      </c>
    </row>
    <row r="9" customFormat="false" ht="15" hidden="false" customHeight="false" outlineLevel="0" collapsed="false">
      <c r="A9" s="6" t="n">
        <v>5</v>
      </c>
      <c r="B9" s="6" t="s">
        <v>431</v>
      </c>
      <c r="C9" s="6" t="s">
        <v>8</v>
      </c>
      <c r="D9" s="6" t="s">
        <v>9</v>
      </c>
      <c r="E9" s="38" t="n">
        <v>565</v>
      </c>
      <c r="F9" s="38"/>
      <c r="G9" s="38"/>
    </row>
    <row r="10" customFormat="false" ht="15" hidden="false" customHeight="false" outlineLevel="0" collapsed="false">
      <c r="A10" s="6" t="n">
        <v>6</v>
      </c>
      <c r="B10" s="6" t="s">
        <v>432</v>
      </c>
      <c r="C10" s="6" t="s">
        <v>8</v>
      </c>
      <c r="D10" s="6" t="s">
        <v>9</v>
      </c>
      <c r="E10" s="38" t="n">
        <v>377</v>
      </c>
      <c r="F10" s="38"/>
      <c r="G10" s="38"/>
    </row>
    <row r="11" customFormat="false" ht="15" hidden="false" customHeight="false" outlineLevel="0" collapsed="false">
      <c r="A11" s="6" t="n">
        <v>7</v>
      </c>
      <c r="B11" s="6" t="s">
        <v>433</v>
      </c>
      <c r="C11" s="6" t="s">
        <v>8</v>
      </c>
      <c r="D11" s="6" t="s">
        <v>9</v>
      </c>
      <c r="E11" s="38" t="n">
        <v>631</v>
      </c>
      <c r="F11" s="38" t="s">
        <v>434</v>
      </c>
      <c r="G11" s="38"/>
    </row>
    <row r="12" customFormat="false" ht="15" hidden="false" customHeight="false" outlineLevel="0" collapsed="false">
      <c r="A12" s="6" t="n">
        <v>8</v>
      </c>
      <c r="B12" s="6" t="s">
        <v>435</v>
      </c>
      <c r="C12" s="6" t="s">
        <v>8</v>
      </c>
      <c r="D12" s="6" t="s">
        <v>9</v>
      </c>
      <c r="E12" s="38" t="n">
        <v>58.6</v>
      </c>
      <c r="F12" s="38"/>
      <c r="G12" s="38"/>
    </row>
    <row r="13" customFormat="false" ht="15" hidden="false" customHeight="false" outlineLevel="0" collapsed="false">
      <c r="A13" s="6" t="n">
        <v>9</v>
      </c>
      <c r="B13" s="6" t="s">
        <v>436</v>
      </c>
      <c r="C13" s="6" t="s">
        <v>8</v>
      </c>
      <c r="D13" s="6" t="s">
        <v>9</v>
      </c>
      <c r="E13" s="38" t="n">
        <v>450</v>
      </c>
      <c r="F13" s="38"/>
      <c r="G13" s="38"/>
    </row>
    <row r="14" customFormat="false" ht="15" hidden="false" customHeight="false" outlineLevel="0" collapsed="false">
      <c r="A14" s="27"/>
      <c r="B14" s="27"/>
      <c r="C14" s="27"/>
      <c r="D14" s="27"/>
    </row>
    <row r="15" customFormat="false" ht="15" hidden="false" customHeight="false" outlineLevel="0" collapsed="false">
      <c r="A15" s="27"/>
      <c r="B15" s="27"/>
      <c r="C15" s="27"/>
      <c r="D15" s="27"/>
    </row>
    <row r="16" customFormat="false" ht="15" hidden="false" customHeight="false" outlineLevel="0" collapsed="false">
      <c r="A16" s="6"/>
      <c r="B16" s="7" t="s">
        <v>13</v>
      </c>
      <c r="C16" s="6"/>
      <c r="D16" s="6"/>
    </row>
    <row r="17" customFormat="false" ht="15.75" hidden="false" customHeight="true" outlineLevel="0" collapsed="false">
      <c r="A17" s="6" t="n">
        <v>5</v>
      </c>
      <c r="B17" s="6" t="s">
        <v>437</v>
      </c>
      <c r="C17" s="6" t="s">
        <v>230</v>
      </c>
      <c r="D17" s="6" t="s">
        <v>32</v>
      </c>
    </row>
    <row r="18" customFormat="false" ht="15.75" hidden="false" customHeight="true" outlineLevel="0" collapsed="false">
      <c r="A18" s="6" t="n">
        <v>6</v>
      </c>
      <c r="B18" s="6" t="s">
        <v>438</v>
      </c>
      <c r="C18" s="6" t="s">
        <v>230</v>
      </c>
      <c r="D18" s="6" t="s">
        <v>32</v>
      </c>
    </row>
    <row r="19" customFormat="false" ht="15.75" hidden="false" customHeight="true" outlineLevel="0" collapsed="false">
      <c r="A19" s="6" t="n">
        <v>7</v>
      </c>
      <c r="B19" s="6" t="s">
        <v>439</v>
      </c>
      <c r="C19" s="6" t="s">
        <v>230</v>
      </c>
      <c r="D19" s="6" t="s">
        <v>32</v>
      </c>
    </row>
    <row r="20" customFormat="false" ht="15" hidden="false" customHeight="false" outlineLevel="0" collapsed="false">
      <c r="A20" s="6" t="n">
        <v>8</v>
      </c>
      <c r="B20" s="6" t="s">
        <v>440</v>
      </c>
      <c r="C20" s="6" t="s">
        <v>230</v>
      </c>
      <c r="D20" s="6" t="s">
        <v>32</v>
      </c>
    </row>
    <row r="21" customFormat="false" ht="15" hidden="false" customHeight="false" outlineLevel="0" collapsed="false">
      <c r="A21" s="6" t="n">
        <v>9</v>
      </c>
      <c r="B21" s="6" t="s">
        <v>441</v>
      </c>
      <c r="C21" s="6" t="s">
        <v>230</v>
      </c>
      <c r="D21" s="6" t="s">
        <v>32</v>
      </c>
    </row>
    <row r="22" customFormat="false" ht="15" hidden="false" customHeight="false" outlineLevel="0" collapsed="false">
      <c r="A22" s="6" t="n">
        <v>10</v>
      </c>
      <c r="B22" s="6" t="s">
        <v>442</v>
      </c>
      <c r="C22" s="6" t="s">
        <v>230</v>
      </c>
      <c r="D22" s="6" t="s">
        <v>32</v>
      </c>
    </row>
    <row r="23" customFormat="false" ht="15" hidden="false" customHeight="false" outlineLevel="0" collapsed="false">
      <c r="A23" s="6" t="n">
        <v>11</v>
      </c>
      <c r="B23" s="6" t="s">
        <v>443</v>
      </c>
      <c r="C23" s="3" t="s">
        <v>37</v>
      </c>
      <c r="D23" s="6" t="s">
        <v>32</v>
      </c>
    </row>
    <row r="24" customFormat="false" ht="15" hidden="false" customHeight="false" outlineLevel="0" collapsed="false">
      <c r="A24" s="6" t="n">
        <v>12</v>
      </c>
      <c r="B24" s="6" t="s">
        <v>444</v>
      </c>
      <c r="C24" s="3" t="s">
        <v>37</v>
      </c>
      <c r="D24" s="6" t="s">
        <v>32</v>
      </c>
    </row>
    <row r="25" customFormat="false" ht="15" hidden="false" customHeight="false" outlineLevel="0" collapsed="false">
      <c r="A25" s="6" t="n">
        <v>13</v>
      </c>
      <c r="B25" s="6" t="s">
        <v>445</v>
      </c>
      <c r="C25" s="3" t="s">
        <v>37</v>
      </c>
      <c r="D25" s="6" t="s">
        <v>32</v>
      </c>
    </row>
    <row r="26" customFormat="false" ht="15" hidden="false" customHeight="false" outlineLevel="0" collapsed="false">
      <c r="A26" s="6" t="n">
        <v>14</v>
      </c>
      <c r="B26" s="3" t="s">
        <v>55</v>
      </c>
      <c r="C26" s="6" t="s">
        <v>56</v>
      </c>
      <c r="D26" s="6" t="s">
        <v>32</v>
      </c>
    </row>
    <row r="27" customFormat="false" ht="15" hidden="false" customHeight="false" outlineLevel="0" collapsed="false">
      <c r="A27" s="6" t="n">
        <v>15</v>
      </c>
      <c r="B27" s="3" t="s">
        <v>57</v>
      </c>
      <c r="C27" s="6" t="s">
        <v>56</v>
      </c>
      <c r="D27" s="6" t="s">
        <v>32</v>
      </c>
    </row>
    <row r="28" customFormat="false" ht="15" hidden="false" customHeight="false" outlineLevel="0" collapsed="false">
      <c r="A28" s="6" t="n">
        <v>16</v>
      </c>
      <c r="B28" s="3" t="s">
        <v>58</v>
      </c>
      <c r="C28" s="6" t="s">
        <v>56</v>
      </c>
      <c r="D28" s="6" t="s">
        <v>32</v>
      </c>
    </row>
    <row r="29" customFormat="false" ht="15" hidden="false" customHeight="false" outlineLevel="0" collapsed="false">
      <c r="A29" s="6" t="n">
        <v>17</v>
      </c>
      <c r="B29" s="6" t="s">
        <v>446</v>
      </c>
      <c r="C29" s="6" t="s">
        <v>60</v>
      </c>
      <c r="D29" s="6" t="s">
        <v>32</v>
      </c>
    </row>
    <row r="30" customFormat="false" ht="15" hidden="false" customHeight="false" outlineLevel="0" collapsed="false">
      <c r="A30" s="6" t="n">
        <v>18</v>
      </c>
      <c r="B30" s="3" t="s">
        <v>43</v>
      </c>
      <c r="C30" s="3" t="s">
        <v>42</v>
      </c>
      <c r="D30" s="3" t="s">
        <v>32</v>
      </c>
    </row>
    <row r="31" customFormat="false" ht="15" hidden="false" customHeight="false" outlineLevel="0" collapsed="false">
      <c r="A31" s="6" t="n">
        <v>19</v>
      </c>
      <c r="B31" s="3" t="s">
        <v>44</v>
      </c>
      <c r="C31" s="3" t="s">
        <v>42</v>
      </c>
      <c r="D31" s="3" t="s">
        <v>32</v>
      </c>
    </row>
    <row r="32" customFormat="false" ht="15" hidden="false" customHeight="false" outlineLevel="0" collapsed="false">
      <c r="A32" s="6" t="n">
        <v>20</v>
      </c>
      <c r="B32" s="3" t="s">
        <v>48</v>
      </c>
      <c r="C32" s="3" t="s">
        <v>49</v>
      </c>
      <c r="D32" s="3" t="s">
        <v>32</v>
      </c>
    </row>
    <row r="33" customFormat="false" ht="15" hidden="false" customHeight="false" outlineLevel="0" collapsed="false">
      <c r="A33" s="6" t="n">
        <v>21</v>
      </c>
      <c r="B33" s="3" t="s">
        <v>50</v>
      </c>
      <c r="C33" s="3" t="s">
        <v>49</v>
      </c>
      <c r="D33" s="3" t="s">
        <v>32</v>
      </c>
    </row>
    <row r="34" customFormat="false" ht="15" hidden="false" customHeight="false" outlineLevel="0" collapsed="false">
      <c r="A34" s="27"/>
      <c r="B34" s="27"/>
      <c r="C34" s="27"/>
      <c r="D34" s="27"/>
    </row>
    <row r="35" customFormat="false" ht="15" hidden="false" customHeight="false" outlineLevel="0" collapsed="false">
      <c r="A35" s="6"/>
      <c r="B35" s="7" t="s">
        <v>61</v>
      </c>
      <c r="C35" s="6"/>
      <c r="D35" s="27"/>
    </row>
    <row r="36" s="33" customFormat="true" ht="63" hidden="false" customHeight="true" outlineLevel="0" collapsed="false">
      <c r="A36" s="8" t="n">
        <v>1</v>
      </c>
      <c r="B36" s="9" t="s">
        <v>447</v>
      </c>
      <c r="C36" s="9" t="s">
        <v>448</v>
      </c>
      <c r="D36" s="39"/>
    </row>
    <row r="37" s="33" customFormat="true" ht="63" hidden="false" customHeight="true" outlineLevel="0" collapsed="false">
      <c r="A37" s="8" t="n">
        <v>2</v>
      </c>
      <c r="B37" s="9" t="s">
        <v>449</v>
      </c>
      <c r="C37" s="9" t="s">
        <v>450</v>
      </c>
    </row>
    <row r="38" s="33" customFormat="true" ht="63" hidden="false" customHeight="true" outlineLevel="0" collapsed="false">
      <c r="A38" s="8" t="n">
        <v>3</v>
      </c>
      <c r="B38" s="9" t="s">
        <v>451</v>
      </c>
      <c r="C38" s="9" t="s">
        <v>452</v>
      </c>
    </row>
    <row r="39" s="33" customFormat="true" ht="63" hidden="false" customHeight="true" outlineLevel="0" collapsed="false">
      <c r="A39" s="8" t="n">
        <v>4</v>
      </c>
      <c r="B39" s="9" t="s">
        <v>453</v>
      </c>
      <c r="C39" s="9" t="s">
        <v>454</v>
      </c>
    </row>
    <row r="40" s="33" customFormat="true" ht="63" hidden="false" customHeight="true" outlineLevel="0" collapsed="false">
      <c r="A40" s="8" t="n">
        <v>5</v>
      </c>
      <c r="B40" s="9" t="s">
        <v>455</v>
      </c>
      <c r="C40" s="9" t="s">
        <v>456</v>
      </c>
    </row>
    <row r="41" s="33" customFormat="true" ht="63" hidden="false" customHeight="true" outlineLevel="0" collapsed="false">
      <c r="A41" s="39"/>
    </row>
    <row r="42" s="33" customFormat="true" ht="63" hidden="false" customHeight="true" outlineLevel="0" collapsed="false">
      <c r="A42" s="10"/>
      <c r="B42" s="11" t="s">
        <v>74</v>
      </c>
      <c r="C42" s="11" t="s">
        <v>76</v>
      </c>
      <c r="D42" s="11" t="s">
        <v>372</v>
      </c>
    </row>
    <row r="43" s="33" customFormat="true" ht="82.5" hidden="false" customHeight="true" outlineLevel="0" collapsed="false">
      <c r="A43" s="10" t="n">
        <v>1</v>
      </c>
      <c r="B43" s="10" t="s">
        <v>457</v>
      </c>
      <c r="C43" s="10" t="s">
        <v>458</v>
      </c>
      <c r="D43" s="10" t="s">
        <v>459</v>
      </c>
    </row>
    <row r="44" s="33" customFormat="true" ht="63" hidden="false" customHeight="true" outlineLevel="0" collapsed="false">
      <c r="A44" s="10" t="n">
        <v>2</v>
      </c>
      <c r="B44" s="10" t="s">
        <v>460</v>
      </c>
      <c r="C44" s="10" t="s">
        <v>461</v>
      </c>
      <c r="D44" s="10" t="s">
        <v>462</v>
      </c>
    </row>
    <row r="45" s="33" customFormat="true" ht="63" hidden="false" customHeight="true" outlineLevel="0" collapsed="false">
      <c r="A45" s="10" t="n">
        <v>3</v>
      </c>
      <c r="B45" s="10" t="s">
        <v>463</v>
      </c>
      <c r="C45" s="10" t="s">
        <v>464</v>
      </c>
      <c r="D45" s="10" t="s">
        <v>465</v>
      </c>
    </row>
    <row r="46" s="33" customFormat="true" ht="63" hidden="false" customHeight="true" outlineLevel="0" collapsed="false">
      <c r="A46" s="10" t="n">
        <v>4</v>
      </c>
      <c r="B46" s="10" t="s">
        <v>466</v>
      </c>
      <c r="C46" s="10" t="s">
        <v>467</v>
      </c>
      <c r="D46" s="30" t="s">
        <v>468</v>
      </c>
    </row>
    <row r="47" s="33" customFormat="true" ht="63" hidden="false" customHeight="true" outlineLevel="0" collapsed="false">
      <c r="A47" s="10" t="n">
        <v>5</v>
      </c>
      <c r="B47" s="10" t="s">
        <v>469</v>
      </c>
      <c r="C47" s="10" t="s">
        <v>470</v>
      </c>
      <c r="D47" s="10" t="s">
        <v>471</v>
      </c>
    </row>
    <row r="48" s="33" customFormat="true" ht="63" hidden="false" customHeight="true" outlineLevel="0" collapsed="false">
      <c r="A48" s="10" t="n">
        <v>6</v>
      </c>
      <c r="B48" s="10" t="s">
        <v>472</v>
      </c>
      <c r="C48" s="10" t="s">
        <v>473</v>
      </c>
      <c r="D48" s="10" t="s">
        <v>474</v>
      </c>
    </row>
    <row r="49" s="33" customFormat="true" ht="63" hidden="false" customHeight="true" outlineLevel="0" collapsed="false">
      <c r="A49" s="10" t="n">
        <v>7</v>
      </c>
      <c r="B49" s="10" t="s">
        <v>475</v>
      </c>
      <c r="C49" s="10" t="s">
        <v>476</v>
      </c>
      <c r="D49" s="10" t="s">
        <v>477</v>
      </c>
    </row>
    <row r="50" s="33" customFormat="true" ht="63" hidden="false" customHeight="true" outlineLevel="0" collapsed="false">
      <c r="A50" s="10" t="n">
        <v>8</v>
      </c>
      <c r="B50" s="10" t="s">
        <v>478</v>
      </c>
      <c r="C50" s="10" t="s">
        <v>479</v>
      </c>
      <c r="D50" s="40" t="s">
        <v>480</v>
      </c>
    </row>
    <row r="51" s="33" customFormat="true" ht="63" hidden="false" customHeight="true" outlineLevel="0" collapsed="false">
      <c r="A51" s="10" t="n">
        <v>9</v>
      </c>
      <c r="B51" s="10" t="s">
        <v>481</v>
      </c>
      <c r="C51" s="10" t="s">
        <v>482</v>
      </c>
      <c r="D51" s="30" t="s">
        <v>483</v>
      </c>
    </row>
    <row r="52" s="33" customFormat="true" ht="63" hidden="false" customHeight="true" outlineLevel="0" collapsed="false">
      <c r="A52" s="39"/>
    </row>
    <row r="53" s="33" customFormat="true" ht="63" hidden="false" customHeight="true" outlineLevel="0" collapsed="false">
      <c r="A53" s="39"/>
    </row>
    <row r="54" s="33" customFormat="true" ht="63" hidden="false" customHeight="true" outlineLevel="0" collapsed="false">
      <c r="A54" s="39"/>
    </row>
    <row r="56" customFormat="false" ht="15" hidden="false" customHeight="false" outlineLevel="0" collapsed="false">
      <c r="A56" s="6"/>
      <c r="B56" s="7" t="s">
        <v>203</v>
      </c>
    </row>
    <row r="57" customFormat="false" ht="15" hidden="false" customHeight="false" outlineLevel="0" collapsed="false">
      <c r="A57" s="8" t="n">
        <v>1</v>
      </c>
      <c r="B57" s="8" t="s">
        <v>203</v>
      </c>
      <c r="C57" s="8" t="s">
        <v>204</v>
      </c>
      <c r="D57" s="8" t="s">
        <v>205</v>
      </c>
      <c r="E57" s="8" t="s">
        <v>206</v>
      </c>
    </row>
    <row r="58" customFormat="false" ht="15" hidden="false" customHeight="false" outlineLevel="0" collapsed="false">
      <c r="A58" s="8" t="n">
        <v>2</v>
      </c>
      <c r="B58" s="8" t="s">
        <v>484</v>
      </c>
      <c r="C58" s="8" t="s">
        <v>426</v>
      </c>
      <c r="D58" s="8" t="s">
        <v>209</v>
      </c>
      <c r="E58" s="8" t="n">
        <v>31</v>
      </c>
    </row>
    <row r="59" customFormat="false" ht="15" hidden="false" customHeight="false" outlineLevel="0" collapsed="false">
      <c r="A59" s="8" t="n">
        <v>3</v>
      </c>
      <c r="B59" s="8" t="s">
        <v>484</v>
      </c>
      <c r="C59" s="8" t="s">
        <v>426</v>
      </c>
      <c r="D59" s="8" t="s">
        <v>212</v>
      </c>
      <c r="E59" s="8" t="n">
        <v>26.5</v>
      </c>
    </row>
    <row r="60" customFormat="false" ht="15" hidden="false" customHeight="false" outlineLevel="0" collapsed="false">
      <c r="A60" s="8" t="n">
        <v>4</v>
      </c>
      <c r="B60" s="8" t="s">
        <v>485</v>
      </c>
      <c r="C60" s="8" t="s">
        <v>486</v>
      </c>
      <c r="D60" s="8" t="s">
        <v>209</v>
      </c>
      <c r="E60" s="8" t="n">
        <v>14.6</v>
      </c>
    </row>
    <row r="61" customFormat="false" ht="15" hidden="false" customHeight="false" outlineLevel="0" collapsed="false">
      <c r="A61" s="8" t="n">
        <v>5</v>
      </c>
      <c r="B61" s="8" t="s">
        <v>487</v>
      </c>
      <c r="C61" s="8" t="s">
        <v>424</v>
      </c>
      <c r="D61" s="8" t="s">
        <v>209</v>
      </c>
      <c r="E61" s="8" t="n">
        <v>34</v>
      </c>
    </row>
  </sheetData>
  <mergeCells count="1">
    <mergeCell ref="B2:D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G16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07421875" defaultRowHeight="15" zeroHeight="false" outlineLevelRow="0" outlineLevelCol="0"/>
  <cols>
    <col collapsed="false" customWidth="true" hidden="false" outlineLevel="0" max="2" min="2" style="0" width="38.31"/>
    <col collapsed="false" customWidth="true" hidden="false" outlineLevel="0" max="3" min="3" style="0" width="105.07"/>
    <col collapsed="false" customWidth="true" hidden="false" outlineLevel="0" max="4" min="4" style="0" width="34.62"/>
    <col collapsed="false" customWidth="true" hidden="false" outlineLevel="0" max="5" min="5" style="0" width="38"/>
    <col collapsed="false" customWidth="true" hidden="false" outlineLevel="0" max="6" min="6" style="0" width="25.15"/>
    <col collapsed="false" customWidth="true" hidden="false" outlineLevel="0" max="7" min="7" style="0" width="61.47"/>
    <col collapsed="false" customWidth="true" hidden="false" outlineLevel="0" max="8" min="8" style="0" width="66.15"/>
  </cols>
  <sheetData>
    <row r="2" customFormat="false" ht="15" hidden="false" customHeight="false" outlineLevel="0" collapsed="false">
      <c r="B2" s="1" t="s">
        <v>0</v>
      </c>
    </row>
    <row r="3" customFormat="false" ht="84.75" hidden="false" customHeight="true" outlineLevel="0" collapsed="false">
      <c r="B3" s="2" t="s">
        <v>488</v>
      </c>
      <c r="C3" s="2"/>
      <c r="D3" s="2"/>
    </row>
    <row r="5" customFormat="false" ht="15" hidden="false" customHeight="false" outlineLevel="0" collapsed="false">
      <c r="A5" s="3"/>
      <c r="B5" s="4" t="s">
        <v>2</v>
      </c>
      <c r="C5" s="4"/>
      <c r="D5" s="4" t="s">
        <v>3</v>
      </c>
      <c r="E5" s="4" t="s">
        <v>489</v>
      </c>
      <c r="F5" s="4" t="s">
        <v>490</v>
      </c>
      <c r="G5" s="4" t="s">
        <v>491</v>
      </c>
    </row>
    <row r="6" customFormat="false" ht="15" hidden="false" customHeight="false" outlineLevel="0" collapsed="false">
      <c r="A6" s="3"/>
      <c r="B6" s="3"/>
      <c r="C6" s="3"/>
      <c r="D6" s="3"/>
      <c r="E6" s="3"/>
      <c r="F6" s="3"/>
      <c r="G6" s="3"/>
    </row>
    <row r="7" customFormat="false" ht="15" hidden="false" customHeight="false" outlineLevel="0" collapsed="false">
      <c r="A7" s="3"/>
      <c r="B7" s="3"/>
      <c r="C7" s="3"/>
      <c r="D7" s="3"/>
      <c r="E7" s="3"/>
      <c r="F7" s="3"/>
      <c r="G7" s="3"/>
    </row>
    <row r="8" customFormat="false" ht="15" hidden="false" customHeight="false" outlineLevel="0" collapsed="false">
      <c r="A8" s="3"/>
      <c r="B8" s="3"/>
      <c r="C8" s="3"/>
      <c r="D8" s="3"/>
      <c r="E8" s="3"/>
      <c r="F8" s="3"/>
      <c r="G8" s="3"/>
    </row>
    <row r="9" customFormat="false" ht="15" hidden="false" customHeight="false" outlineLevel="0" collapsed="false">
      <c r="A9" s="3"/>
      <c r="B9" s="3"/>
      <c r="C9" s="3"/>
      <c r="D9" s="3"/>
      <c r="E9" s="5"/>
      <c r="F9" s="5"/>
      <c r="G9" s="3"/>
    </row>
    <row r="11" customFormat="false" ht="15" hidden="false" customHeight="false" outlineLevel="0" collapsed="false">
      <c r="A11" s="3"/>
      <c r="B11" s="4" t="s">
        <v>13</v>
      </c>
      <c r="C11" s="3"/>
      <c r="D11" s="3"/>
      <c r="E11" s="4" t="s">
        <v>14</v>
      </c>
      <c r="F11" s="4" t="s">
        <v>15</v>
      </c>
      <c r="G11" s="4" t="s">
        <v>16</v>
      </c>
    </row>
    <row r="12" customFormat="false" ht="15" hidden="false" customHeight="false" outlineLevel="0" collapsed="false">
      <c r="A12" s="3"/>
      <c r="B12" s="3"/>
      <c r="C12" s="3"/>
      <c r="D12" s="3"/>
      <c r="E12" s="3"/>
      <c r="F12" s="3"/>
      <c r="G12" s="3"/>
    </row>
    <row r="13" customFormat="false" ht="15" hidden="false" customHeight="false" outlineLevel="0" collapsed="false">
      <c r="A13" s="3"/>
      <c r="B13" s="3"/>
      <c r="C13" s="3"/>
      <c r="D13" s="3"/>
      <c r="E13" s="3"/>
      <c r="F13" s="3"/>
      <c r="G13" s="3"/>
    </row>
    <row r="14" customFormat="false" ht="15" hidden="false" customHeight="false" outlineLevel="0" collapsed="false">
      <c r="A14" s="3"/>
      <c r="B14" s="3"/>
      <c r="C14" s="3"/>
      <c r="D14" s="3"/>
      <c r="E14" s="3"/>
      <c r="F14" s="3"/>
      <c r="G14" s="3"/>
    </row>
    <row r="15" customFormat="false" ht="15" hidden="false" customHeight="false" outlineLevel="0" collapsed="false">
      <c r="A15" s="3"/>
      <c r="B15" s="3"/>
      <c r="C15" s="3"/>
      <c r="D15" s="3"/>
      <c r="E15" s="3"/>
      <c r="F15" s="3"/>
      <c r="G15" s="3"/>
    </row>
    <row r="16" customFormat="false" ht="15" hidden="false" customHeight="false" outlineLevel="0" collapsed="false">
      <c r="A16" s="3"/>
      <c r="B16" s="3"/>
      <c r="C16" s="3"/>
      <c r="D16" s="3"/>
      <c r="E16" s="3"/>
      <c r="F16" s="3"/>
      <c r="G16" s="3"/>
    </row>
    <row r="17" customFormat="false" ht="15" hidden="false" customHeight="false" outlineLevel="0" collapsed="false">
      <c r="A17" s="3"/>
      <c r="B17" s="3"/>
      <c r="C17" s="3"/>
      <c r="D17" s="3"/>
      <c r="E17" s="3"/>
      <c r="F17" s="3"/>
      <c r="G17" s="3"/>
    </row>
    <row r="18" customFormat="false" ht="15" hidden="false" customHeight="false" outlineLevel="0" collapsed="false">
      <c r="A18" s="3"/>
      <c r="B18" s="3"/>
      <c r="C18" s="3"/>
      <c r="D18" s="3"/>
      <c r="E18" s="3"/>
      <c r="F18" s="3"/>
      <c r="G18" s="3"/>
    </row>
    <row r="19" customFormat="false" ht="15" hidden="false" customHeight="false" outlineLevel="0" collapsed="false">
      <c r="A19" s="3"/>
      <c r="B19" s="3"/>
      <c r="C19" s="3"/>
      <c r="D19" s="3"/>
      <c r="E19" s="3"/>
      <c r="F19" s="3"/>
      <c r="G19" s="3"/>
    </row>
    <row r="20" customFormat="false" ht="15" hidden="false" customHeight="false" outlineLevel="0" collapsed="false">
      <c r="A20" s="3"/>
      <c r="B20" s="3"/>
      <c r="C20" s="3"/>
      <c r="D20" s="3"/>
      <c r="E20" s="3"/>
      <c r="F20" s="3"/>
      <c r="G20" s="3"/>
    </row>
    <row r="21" customFormat="false" ht="15" hidden="false" customHeight="false" outlineLevel="0" collapsed="false">
      <c r="A21" s="3"/>
      <c r="B21" s="3"/>
      <c r="C21" s="3"/>
      <c r="D21" s="3"/>
      <c r="E21" s="3"/>
      <c r="F21" s="3"/>
      <c r="G21" s="3"/>
    </row>
    <row r="22" customFormat="false" ht="15" hidden="false" customHeight="false" outlineLevel="0" collapsed="false">
      <c r="A22" s="3"/>
      <c r="B22" s="3"/>
      <c r="C22" s="3"/>
      <c r="D22" s="3"/>
      <c r="E22" s="3"/>
      <c r="F22" s="3"/>
      <c r="G22" s="3"/>
    </row>
    <row r="23" customFormat="false" ht="15" hidden="false" customHeight="false" outlineLevel="0" collapsed="false">
      <c r="A23" s="3"/>
      <c r="B23" s="3"/>
      <c r="C23" s="3"/>
      <c r="D23" s="3"/>
      <c r="E23" s="3"/>
      <c r="F23" s="3"/>
      <c r="G23" s="3"/>
    </row>
    <row r="24" customFormat="false" ht="15" hidden="false" customHeight="false" outlineLevel="0" collapsed="false">
      <c r="A24" s="3"/>
      <c r="B24" s="3"/>
      <c r="C24" s="3"/>
      <c r="D24" s="3"/>
      <c r="E24" s="3"/>
      <c r="F24" s="3"/>
      <c r="G24" s="3"/>
    </row>
    <row r="25" customFormat="false" ht="15" hidden="false" customHeight="false" outlineLevel="0" collapsed="false">
      <c r="A25" s="3"/>
      <c r="B25" s="3"/>
      <c r="C25" s="3"/>
      <c r="D25" s="3"/>
      <c r="E25" s="3"/>
      <c r="F25" s="3"/>
      <c r="G25" s="3"/>
    </row>
    <row r="26" customFormat="false" ht="15" hidden="false" customHeight="false" outlineLevel="0" collapsed="false">
      <c r="A26" s="3"/>
      <c r="B26" s="3"/>
      <c r="C26" s="3"/>
      <c r="D26" s="3"/>
      <c r="E26" s="3"/>
      <c r="F26" s="3"/>
      <c r="G26" s="3"/>
    </row>
    <row r="27" customFormat="false" ht="15" hidden="false" customHeight="false" outlineLevel="0" collapsed="false">
      <c r="A27" s="3"/>
      <c r="B27" s="3"/>
      <c r="C27" s="3"/>
      <c r="D27" s="3"/>
      <c r="E27" s="3"/>
      <c r="F27" s="3"/>
      <c r="G27" s="3"/>
    </row>
    <row r="28" customFormat="false" ht="15" hidden="false" customHeight="false" outlineLevel="0" collapsed="false">
      <c r="A28" s="3"/>
      <c r="B28" s="3"/>
      <c r="C28" s="3"/>
      <c r="D28" s="3"/>
      <c r="E28" s="3"/>
      <c r="F28" s="3"/>
      <c r="G28" s="3"/>
    </row>
    <row r="29" customFormat="false" ht="15" hidden="false" customHeight="false" outlineLevel="0" collapsed="false">
      <c r="A29" s="3"/>
      <c r="B29" s="3"/>
      <c r="C29" s="3"/>
      <c r="D29" s="3"/>
      <c r="E29" s="3"/>
      <c r="F29" s="3"/>
      <c r="G29" s="3"/>
    </row>
    <row r="30" customFormat="false" ht="15" hidden="false" customHeight="false" outlineLevel="0" collapsed="false">
      <c r="A30" s="3"/>
      <c r="B30" s="3"/>
      <c r="C30" s="3"/>
      <c r="D30" s="3"/>
      <c r="E30" s="3"/>
      <c r="F30" s="3"/>
      <c r="G30" s="3"/>
    </row>
    <row r="31" customFormat="false" ht="15" hidden="false" customHeight="false" outlineLevel="0" collapsed="false">
      <c r="A31" s="3"/>
      <c r="B31" s="3"/>
      <c r="C31" s="3"/>
      <c r="D31" s="3"/>
      <c r="E31" s="3"/>
      <c r="F31" s="3"/>
      <c r="G31" s="3"/>
    </row>
    <row r="32" customFormat="false" ht="15" hidden="false" customHeight="false" outlineLevel="0" collapsed="false">
      <c r="A32" s="3"/>
      <c r="B32" s="3"/>
      <c r="C32" s="3"/>
      <c r="D32" s="3"/>
      <c r="E32" s="3"/>
      <c r="F32" s="3"/>
      <c r="G32" s="3"/>
    </row>
    <row r="33" customFormat="false" ht="15" hidden="false" customHeight="false" outlineLevel="0" collapsed="false">
      <c r="A33" s="3"/>
      <c r="B33" s="3"/>
      <c r="C33" s="3"/>
      <c r="D33" s="3"/>
      <c r="E33" s="3"/>
      <c r="F33" s="3"/>
      <c r="G33" s="3"/>
    </row>
    <row r="34" customFormat="false" ht="15" hidden="false" customHeight="false" outlineLevel="0" collapsed="false">
      <c r="A34" s="3"/>
      <c r="B34" s="3"/>
      <c r="C34" s="3"/>
      <c r="D34" s="3"/>
      <c r="E34" s="3"/>
      <c r="F34" s="3"/>
      <c r="G34" s="3"/>
    </row>
    <row r="35" customFormat="false" ht="15" hidden="false" customHeight="false" outlineLevel="0" collapsed="false">
      <c r="A35" s="3"/>
      <c r="B35" s="3"/>
      <c r="C35" s="3"/>
      <c r="D35" s="3"/>
      <c r="E35" s="3"/>
      <c r="F35" s="3"/>
      <c r="G35" s="3"/>
    </row>
    <row r="36" customFormat="false" ht="15" hidden="false" customHeight="false" outlineLevel="0" collapsed="false">
      <c r="A36" s="3"/>
      <c r="B36" s="3"/>
      <c r="C36" s="3"/>
      <c r="D36" s="3"/>
      <c r="E36" s="3"/>
      <c r="F36" s="3"/>
      <c r="G36" s="3"/>
    </row>
    <row r="37" customFormat="false" ht="15" hidden="false" customHeight="false" outlineLevel="0" collapsed="false">
      <c r="A37" s="3"/>
      <c r="B37" s="3"/>
      <c r="C37" s="3"/>
      <c r="D37" s="3"/>
      <c r="E37" s="3"/>
      <c r="F37" s="3"/>
      <c r="G37" s="3"/>
    </row>
    <row r="38" customFormat="false" ht="15" hidden="false" customHeight="false" outlineLevel="0" collapsed="false">
      <c r="A38" s="3"/>
      <c r="B38" s="3"/>
      <c r="C38" s="3"/>
      <c r="D38" s="3"/>
      <c r="E38" s="3"/>
      <c r="F38" s="3"/>
      <c r="G38" s="3"/>
    </row>
    <row r="39" customFormat="false" ht="15" hidden="false" customHeight="false" outlineLevel="0" collapsed="false">
      <c r="A39" s="3"/>
      <c r="B39" s="3"/>
      <c r="C39" s="3"/>
      <c r="D39" s="3"/>
      <c r="E39" s="3"/>
      <c r="F39" s="3"/>
      <c r="G39" s="3"/>
    </row>
    <row r="41" customFormat="false" ht="15" hidden="false" customHeight="false" outlineLevel="0" collapsed="false">
      <c r="A41" s="6"/>
      <c r="B41" s="7" t="s">
        <v>61</v>
      </c>
      <c r="C41" s="6"/>
    </row>
    <row r="42" customFormat="false" ht="30.75" hidden="false" customHeight="true" outlineLevel="0" collapsed="false">
      <c r="A42" s="8" t="n">
        <v>1</v>
      </c>
      <c r="B42" s="9" t="s">
        <v>492</v>
      </c>
      <c r="C42" s="9" t="s">
        <v>493</v>
      </c>
    </row>
    <row r="43" customFormat="false" ht="30.75" hidden="false" customHeight="true" outlineLevel="0" collapsed="false">
      <c r="A43" s="8" t="n">
        <v>2</v>
      </c>
      <c r="B43" s="9" t="s">
        <v>494</v>
      </c>
      <c r="C43" s="9" t="s">
        <v>495</v>
      </c>
    </row>
    <row r="44" customFormat="false" ht="30.75" hidden="false" customHeight="true" outlineLevel="0" collapsed="false">
      <c r="A44" s="8" t="n">
        <v>3</v>
      </c>
      <c r="B44" s="9" t="s">
        <v>496</v>
      </c>
      <c r="C44" s="9" t="s">
        <v>497</v>
      </c>
    </row>
    <row r="45" customFormat="false" ht="30.75" hidden="false" customHeight="true" outlineLevel="0" collapsed="false">
      <c r="A45" s="8" t="n">
        <v>4</v>
      </c>
      <c r="B45" s="9" t="s">
        <v>498</v>
      </c>
      <c r="C45" s="9" t="s">
        <v>499</v>
      </c>
    </row>
    <row r="46" customFormat="false" ht="30.75" hidden="false" customHeight="true" outlineLevel="0" collapsed="false">
      <c r="A46" s="8"/>
      <c r="B46" s="9"/>
      <c r="C46" s="9"/>
    </row>
    <row r="47" customFormat="false" ht="30.75" hidden="false" customHeight="true" outlineLevel="0" collapsed="false">
      <c r="A47" s="8"/>
      <c r="B47" s="9"/>
      <c r="C47" s="9"/>
    </row>
    <row r="48" customFormat="false" ht="15" hidden="false" customHeight="false" outlineLevel="0" collapsed="false">
      <c r="B48" s="0" t="s">
        <v>74</v>
      </c>
      <c r="C48" s="0" t="s">
        <v>75</v>
      </c>
      <c r="D48" s="0" t="s">
        <v>76</v>
      </c>
      <c r="E48" s="0" t="s">
        <v>77</v>
      </c>
    </row>
    <row r="49" customFormat="false" ht="44" hidden="false" customHeight="false" outlineLevel="0" collapsed="false">
      <c r="A49" s="0" t="n">
        <v>1</v>
      </c>
      <c r="B49" s="0" t="s">
        <v>500</v>
      </c>
      <c r="C49" s="0" t="s">
        <v>79</v>
      </c>
      <c r="D49" s="0" t="s">
        <v>501</v>
      </c>
      <c r="E49" s="41" t="s">
        <v>502</v>
      </c>
    </row>
    <row r="50" customFormat="false" ht="15" hidden="false" customHeight="false" outlineLevel="0" collapsed="false">
      <c r="A50" s="10"/>
      <c r="B50" s="11"/>
      <c r="C50" s="11"/>
      <c r="D50" s="11"/>
      <c r="E50" s="11"/>
    </row>
    <row r="51" customFormat="false" ht="108" hidden="false" customHeight="true" outlineLevel="0" collapsed="false">
      <c r="A51" s="10"/>
      <c r="B51" s="10"/>
      <c r="C51" s="10"/>
      <c r="D51" s="10"/>
      <c r="E51" s="10"/>
    </row>
    <row r="52" customFormat="false" ht="77.25" hidden="false" customHeight="true" outlineLevel="0" collapsed="false">
      <c r="A52" s="10"/>
      <c r="B52" s="10" t="s">
        <v>131</v>
      </c>
      <c r="C52" s="10"/>
      <c r="D52" s="10"/>
      <c r="E52" s="10"/>
    </row>
    <row r="53" customFormat="false" ht="123.75" hidden="false" customHeight="true" outlineLevel="0" collapsed="false">
      <c r="A53" s="10"/>
      <c r="B53" s="11" t="s">
        <v>132</v>
      </c>
      <c r="C53" s="11" t="s">
        <v>76</v>
      </c>
      <c r="D53" s="11" t="s">
        <v>77</v>
      </c>
      <c r="E53" s="10"/>
    </row>
    <row r="54" customFormat="false" ht="61.5" hidden="false" customHeight="true" outlineLevel="0" collapsed="false">
      <c r="A54" s="10"/>
      <c r="B54" s="10"/>
      <c r="C54" s="10"/>
      <c r="D54" s="10"/>
      <c r="E54" s="9"/>
    </row>
    <row r="55" customFormat="false" ht="93" hidden="false" customHeight="true" outlineLevel="0" collapsed="false">
      <c r="A55" s="12"/>
      <c r="B55" s="12"/>
      <c r="C55" s="12"/>
      <c r="D55" s="12"/>
      <c r="E55" s="12"/>
    </row>
    <row r="56" customFormat="false" ht="154.5" hidden="false" customHeight="true" outlineLevel="0" collapsed="false">
      <c r="A56" s="10"/>
      <c r="B56" s="10"/>
      <c r="C56" s="10"/>
      <c r="D56" s="10"/>
      <c r="E56" s="10"/>
    </row>
    <row r="57" customFormat="false" ht="93" hidden="false" customHeight="true" outlineLevel="0" collapsed="false">
      <c r="A57" s="10"/>
      <c r="B57" s="10" t="s">
        <v>142</v>
      </c>
      <c r="C57" s="10"/>
      <c r="D57" s="10"/>
      <c r="E57" s="10"/>
    </row>
    <row r="58" customFormat="false" ht="139.5" hidden="false" customHeight="true" outlineLevel="0" collapsed="false">
      <c r="A58" s="10"/>
      <c r="B58" s="11" t="s">
        <v>143</v>
      </c>
      <c r="C58" s="11" t="s">
        <v>144</v>
      </c>
      <c r="D58" s="11" t="s">
        <v>145</v>
      </c>
      <c r="E58" s="10"/>
    </row>
    <row r="59" customFormat="false" ht="93" hidden="false" customHeight="true" outlineLevel="0" collapsed="false">
      <c r="A59" s="10"/>
      <c r="B59" s="10"/>
      <c r="C59" s="10"/>
      <c r="D59" s="10"/>
      <c r="E59" s="10"/>
    </row>
    <row r="60" customFormat="false" ht="139.5" hidden="false" customHeight="true" outlineLevel="0" collapsed="false">
      <c r="A60" s="10"/>
      <c r="B60" s="10"/>
      <c r="C60" s="10"/>
      <c r="D60" s="10"/>
      <c r="E60" s="10"/>
    </row>
    <row r="61" customFormat="false" ht="77.25" hidden="false" customHeight="true" outlineLevel="0" collapsed="false">
      <c r="A61" s="10"/>
      <c r="B61" s="10"/>
      <c r="C61" s="10"/>
      <c r="D61" s="10"/>
      <c r="E61" s="10"/>
    </row>
    <row r="62" customFormat="false" ht="46.5" hidden="false" customHeight="true" outlineLevel="0" collapsed="false">
      <c r="A62" s="10"/>
      <c r="B62" s="10"/>
      <c r="C62" s="10"/>
      <c r="D62" s="10"/>
      <c r="E62" s="10"/>
    </row>
    <row r="63" customFormat="false" ht="123.75" hidden="false" customHeight="true" outlineLevel="0" collapsed="false">
      <c r="A63" s="10"/>
      <c r="B63" s="10" t="s">
        <v>503</v>
      </c>
      <c r="C63" s="10"/>
      <c r="D63" s="10"/>
      <c r="E63" s="10"/>
    </row>
    <row r="64" customFormat="false" ht="93" hidden="false" customHeight="true" outlineLevel="0" collapsed="false">
      <c r="A64" s="12"/>
      <c r="B64" s="42" t="s">
        <v>156</v>
      </c>
      <c r="C64" s="42" t="s">
        <v>157</v>
      </c>
      <c r="D64" s="42" t="s">
        <v>158</v>
      </c>
      <c r="E64" s="12"/>
    </row>
    <row r="65" customFormat="false" ht="93" hidden="false" customHeight="true" outlineLevel="0" collapsed="false">
      <c r="A65" s="10"/>
      <c r="B65" s="10"/>
      <c r="C65" s="10"/>
      <c r="D65" s="10"/>
      <c r="E65" s="10"/>
    </row>
    <row r="66" customFormat="false" ht="30.75" hidden="false" customHeight="true" outlineLevel="0" collapsed="false">
      <c r="A66" s="10"/>
      <c r="B66" s="10"/>
      <c r="C66" s="10"/>
      <c r="D66" s="10"/>
      <c r="E66" s="10"/>
    </row>
    <row r="67" customFormat="false" ht="15" hidden="false" customHeight="false" outlineLevel="0" collapsed="false">
      <c r="A67" s="10"/>
      <c r="B67" s="10"/>
      <c r="C67" s="10"/>
      <c r="D67" s="10"/>
      <c r="E67" s="10"/>
    </row>
    <row r="68" customFormat="false" ht="15" hidden="false" customHeight="false" outlineLevel="0" collapsed="false">
      <c r="A68" s="10"/>
      <c r="B68" s="10" t="s">
        <v>159</v>
      </c>
      <c r="C68" s="43" t="s">
        <v>160</v>
      </c>
      <c r="D68" s="10"/>
      <c r="E68" s="10"/>
    </row>
    <row r="69" customFormat="false" ht="15" hidden="false" customHeight="false" outlineLevel="0" collapsed="false">
      <c r="A69" s="10"/>
      <c r="B69" s="10"/>
      <c r="C69" s="10"/>
      <c r="D69" s="10"/>
      <c r="E69" s="10"/>
    </row>
    <row r="70" customFormat="false" ht="15" hidden="false" customHeight="false" outlineLevel="0" collapsed="false">
      <c r="A70" s="10"/>
      <c r="B70" s="10"/>
      <c r="C70" s="10"/>
      <c r="D70" s="10"/>
      <c r="E70" s="10"/>
    </row>
    <row r="71" customFormat="false" ht="15" hidden="false" customHeight="false" outlineLevel="0" collapsed="false">
      <c r="A71" s="10"/>
      <c r="B71" s="10"/>
      <c r="C71" s="10"/>
      <c r="D71" s="10"/>
      <c r="E71" s="10"/>
    </row>
    <row r="72" customFormat="false" ht="15" hidden="false" customHeight="false" outlineLevel="0" collapsed="false">
      <c r="B72" s="44" t="s">
        <v>504</v>
      </c>
    </row>
    <row r="73" customFormat="false" ht="15" hidden="false" customHeight="false" outlineLevel="0" collapsed="false">
      <c r="B73" s="13" t="s">
        <v>174</v>
      </c>
      <c r="C73" s="13"/>
      <c r="D73" s="13"/>
    </row>
    <row r="74" customFormat="false" ht="15" hidden="false" customHeight="false" outlineLevel="0" collapsed="false">
      <c r="A74" s="3"/>
      <c r="B74" s="4"/>
      <c r="C74" s="11"/>
      <c r="D74" s="11"/>
    </row>
    <row r="75" customFormat="false" ht="123.75" hidden="false" customHeight="true" outlineLevel="0" collapsed="false">
      <c r="A75" s="14"/>
      <c r="B75" s="10"/>
      <c r="C75" s="10"/>
      <c r="D75" s="14"/>
    </row>
    <row r="76" customFormat="false" ht="77.25" hidden="false" customHeight="true" outlineLevel="0" collapsed="false">
      <c r="A76" s="14"/>
      <c r="B76" s="10"/>
      <c r="C76" s="10"/>
      <c r="D76" s="14"/>
    </row>
    <row r="77" customFormat="false" ht="77.25" hidden="false" customHeight="true" outlineLevel="0" collapsed="false">
      <c r="A77" s="14"/>
      <c r="B77" s="14"/>
      <c r="C77" s="14"/>
      <c r="D77" s="14"/>
    </row>
    <row r="78" customFormat="false" ht="15" hidden="false" customHeight="false" outlineLevel="0" collapsed="false">
      <c r="B78" s="44" t="s">
        <v>505</v>
      </c>
    </row>
    <row r="79" customFormat="false" ht="15" hidden="false" customHeight="false" outlineLevel="0" collapsed="false">
      <c r="B79" s="44" t="s">
        <v>506</v>
      </c>
    </row>
    <row r="80" customFormat="false" ht="15" hidden="false" customHeight="false" outlineLevel="0" collapsed="false">
      <c r="A80" s="4"/>
      <c r="B80" s="13"/>
      <c r="C80" s="13"/>
      <c r="D80" s="13"/>
    </row>
    <row r="81" customFormat="false" ht="15" hidden="false" customHeight="false" outlineLevel="0" collapsed="false">
      <c r="A81" s="3"/>
      <c r="B81" s="4"/>
      <c r="C81" s="4"/>
      <c r="D81" s="4"/>
    </row>
    <row r="82" customFormat="false" ht="15" hidden="false" customHeight="false" outlineLevel="0" collapsed="false">
      <c r="A82" s="14"/>
      <c r="B82" s="3"/>
      <c r="C82" s="3"/>
      <c r="D82" s="3"/>
    </row>
    <row r="83" customFormat="false" ht="15" hidden="false" customHeight="false" outlineLevel="0" collapsed="false">
      <c r="A83" s="14"/>
      <c r="B83" s="3" t="s">
        <v>203</v>
      </c>
      <c r="C83" s="3"/>
      <c r="D83" s="3"/>
    </row>
    <row r="84" customFormat="false" ht="15" hidden="false" customHeight="false" outlineLevel="0" collapsed="false">
      <c r="A84" s="14"/>
      <c r="B84" s="6" t="s">
        <v>203</v>
      </c>
      <c r="C84" s="6" t="s">
        <v>143</v>
      </c>
      <c r="D84" s="6" t="s">
        <v>205</v>
      </c>
      <c r="E84" s="27" t="s">
        <v>206</v>
      </c>
    </row>
    <row r="85" customFormat="false" ht="15" hidden="false" customHeight="false" outlineLevel="0" collapsed="false">
      <c r="A85" s="14"/>
      <c r="B85" s="3"/>
      <c r="C85" s="3"/>
      <c r="D85" s="3"/>
    </row>
    <row r="86" customFormat="false" ht="15" hidden="false" customHeight="false" outlineLevel="0" collapsed="false">
      <c r="A86" s="14"/>
      <c r="B86" s="3"/>
      <c r="C86" s="3"/>
      <c r="D86" s="3"/>
    </row>
    <row r="90" customFormat="false" ht="15" hidden="false" customHeight="false" outlineLevel="0" collapsed="false">
      <c r="A90" s="3"/>
      <c r="B90" s="15"/>
      <c r="C90" s="15"/>
      <c r="D90" s="15"/>
    </row>
    <row r="91" customFormat="false" ht="15" hidden="false" customHeight="false" outlineLevel="0" collapsed="false">
      <c r="A91" s="3"/>
      <c r="B91" s="16"/>
      <c r="C91" s="16"/>
      <c r="D91" s="16"/>
    </row>
    <row r="92" customFormat="false" ht="15" hidden="false" customHeight="false" outlineLevel="0" collapsed="false">
      <c r="A92" s="17"/>
      <c r="B92" s="3"/>
      <c r="C92" s="3"/>
      <c r="D92" s="3"/>
    </row>
    <row r="93" customFormat="false" ht="15" hidden="false" customHeight="false" outlineLevel="0" collapsed="false">
      <c r="A93" s="17"/>
      <c r="B93" s="3"/>
      <c r="C93" s="3"/>
      <c r="D93" s="3"/>
    </row>
    <row r="94" customFormat="false" ht="15" hidden="false" customHeight="false" outlineLevel="0" collapsed="false">
      <c r="A94" s="17"/>
      <c r="B94" s="3"/>
      <c r="C94" s="3"/>
      <c r="D94" s="3"/>
    </row>
    <row r="98" customFormat="false" ht="15" hidden="false" customHeight="false" outlineLevel="0" collapsed="false">
      <c r="A98" s="3"/>
      <c r="B98" s="16"/>
      <c r="C98" s="16"/>
    </row>
    <row r="99" customFormat="false" ht="15" hidden="false" customHeight="false" outlineLevel="0" collapsed="false">
      <c r="A99" s="14"/>
      <c r="B99" s="3"/>
      <c r="C99" s="3"/>
    </row>
    <row r="100" customFormat="false" ht="15" hidden="false" customHeight="false" outlineLevel="0" collapsed="false">
      <c r="A100" s="14"/>
      <c r="B100" s="3"/>
      <c r="C100" s="3"/>
    </row>
    <row r="101" customFormat="false" ht="15" hidden="false" customHeight="false" outlineLevel="0" collapsed="false">
      <c r="A101" s="14"/>
      <c r="B101" s="3"/>
      <c r="C101" s="3"/>
    </row>
    <row r="102" customFormat="false" ht="15" hidden="false" customHeight="false" outlineLevel="0" collapsed="false">
      <c r="A102" s="14"/>
      <c r="B102" s="3"/>
      <c r="C102" s="3"/>
    </row>
    <row r="105" customFormat="false" ht="15" hidden="false" customHeight="false" outlineLevel="0" collapsed="false">
      <c r="A105" s="3"/>
      <c r="B105" s="16"/>
      <c r="C105" s="16"/>
    </row>
    <row r="106" customFormat="false" ht="15" hidden="false" customHeight="false" outlineLevel="0" collapsed="false">
      <c r="A106" s="14"/>
      <c r="B106" s="18"/>
      <c r="C106" s="19"/>
    </row>
    <row r="107" customFormat="false" ht="15" hidden="false" customHeight="false" outlineLevel="0" collapsed="false">
      <c r="A107" s="14"/>
      <c r="B107" s="18"/>
      <c r="C107" s="19"/>
    </row>
    <row r="108" customFormat="false" ht="15" hidden="false" customHeight="false" outlineLevel="0" collapsed="false">
      <c r="A108" s="14"/>
      <c r="B108" s="18"/>
      <c r="C108" s="19"/>
    </row>
    <row r="109" customFormat="false" ht="15" hidden="false" customHeight="false" outlineLevel="0" collapsed="false">
      <c r="A109" s="14"/>
      <c r="B109" s="18"/>
      <c r="C109" s="19"/>
    </row>
    <row r="110" customFormat="false" ht="15" hidden="false" customHeight="false" outlineLevel="0" collapsed="false">
      <c r="A110" s="14"/>
      <c r="B110" s="18"/>
      <c r="C110" s="19"/>
    </row>
    <row r="111" customFormat="false" ht="15" hidden="false" customHeight="false" outlineLevel="0" collapsed="false">
      <c r="A111" s="14"/>
      <c r="B111" s="18"/>
      <c r="C111" s="19"/>
    </row>
    <row r="114" customFormat="false" ht="15" hidden="false" customHeight="false" outlineLevel="0" collapsed="false">
      <c r="A114" s="3"/>
      <c r="B114" s="16"/>
      <c r="C114" s="16"/>
    </row>
    <row r="115" customFormat="false" ht="15" hidden="false" customHeight="false" outlineLevel="0" collapsed="false">
      <c r="A115" s="14"/>
      <c r="B115" s="18"/>
      <c r="C115" s="19"/>
    </row>
    <row r="116" customFormat="false" ht="15" hidden="false" customHeight="false" outlineLevel="0" collapsed="false">
      <c r="A116" s="14"/>
      <c r="B116" s="18"/>
      <c r="C116" s="19"/>
    </row>
    <row r="117" customFormat="false" ht="15" hidden="false" customHeight="false" outlineLevel="0" collapsed="false">
      <c r="A117" s="14"/>
      <c r="B117" s="18"/>
      <c r="C117" s="19"/>
    </row>
    <row r="118" customFormat="false" ht="15" hidden="false" customHeight="false" outlineLevel="0" collapsed="false">
      <c r="A118" s="14"/>
      <c r="B118" s="18"/>
      <c r="C118" s="19"/>
    </row>
    <row r="119" customFormat="false" ht="15" hidden="false" customHeight="false" outlineLevel="0" collapsed="false">
      <c r="A119" s="14"/>
      <c r="B119" s="18"/>
      <c r="C119" s="19"/>
    </row>
    <row r="120" customFormat="false" ht="15" hidden="false" customHeight="false" outlineLevel="0" collapsed="false">
      <c r="A120" s="14"/>
      <c r="B120" s="18"/>
      <c r="C120" s="19"/>
    </row>
    <row r="153" customFormat="false" ht="15" hidden="false" customHeight="false" outlineLevel="0" collapsed="false">
      <c r="A153" s="3"/>
      <c r="B153" s="15"/>
      <c r="C153" s="15"/>
      <c r="D153" s="15"/>
      <c r="E153" s="15"/>
      <c r="F153" s="15"/>
    </row>
    <row r="154" customFormat="false" ht="15" hidden="false" customHeight="false" outlineLevel="0" collapsed="false">
      <c r="A154" s="14"/>
      <c r="B154" s="16"/>
      <c r="C154" s="16"/>
      <c r="D154" s="16"/>
      <c r="E154" s="16"/>
      <c r="F154" s="16"/>
    </row>
    <row r="155" customFormat="false" ht="15" hidden="false" customHeight="false" outlineLevel="0" collapsed="false">
      <c r="A155" s="14"/>
      <c r="B155" s="3"/>
      <c r="C155" s="20"/>
      <c r="D155" s="20"/>
      <c r="E155" s="20"/>
      <c r="F155" s="20"/>
    </row>
    <row r="156" customFormat="false" ht="15" hidden="false" customHeight="false" outlineLevel="0" collapsed="false">
      <c r="A156" s="14"/>
      <c r="B156" s="3"/>
      <c r="C156" s="20"/>
      <c r="D156" s="20"/>
      <c r="E156" s="20"/>
      <c r="F156" s="20"/>
    </row>
    <row r="157" customFormat="false" ht="15" hidden="false" customHeight="false" outlineLevel="0" collapsed="false">
      <c r="A157" s="14"/>
      <c r="B157" s="3"/>
      <c r="C157" s="20"/>
      <c r="D157" s="20"/>
      <c r="E157" s="20"/>
      <c r="F157" s="20"/>
    </row>
    <row r="160" customFormat="false" ht="15" hidden="false" customHeight="false" outlineLevel="0" collapsed="false">
      <c r="A160" s="6"/>
      <c r="B160" s="7"/>
    </row>
    <row r="161" customFormat="false" ht="15" hidden="false" customHeight="false" outlineLevel="0" collapsed="false">
      <c r="B161" s="8"/>
      <c r="C161" s="8"/>
      <c r="D161" s="8"/>
      <c r="E161" s="8"/>
    </row>
    <row r="162" customFormat="false" ht="15" hidden="false" customHeight="false" outlineLevel="0" collapsed="false">
      <c r="A162" s="8"/>
      <c r="B162" s="8"/>
      <c r="C162" s="8"/>
      <c r="D162" s="8"/>
      <c r="E162" s="8"/>
    </row>
    <row r="163" customFormat="false" ht="15" hidden="false" customHeight="false" outlineLevel="0" collapsed="false">
      <c r="A163" s="8"/>
      <c r="C163" s="8"/>
      <c r="D163" s="8"/>
      <c r="E163" s="8"/>
    </row>
    <row r="164" customFormat="false" ht="15" hidden="false" customHeight="false" outlineLevel="0" collapsed="false">
      <c r="A164" s="8"/>
      <c r="B164" s="8"/>
      <c r="C164" s="8"/>
      <c r="D164" s="8"/>
      <c r="E164" s="8"/>
    </row>
    <row r="165" customFormat="false" ht="15" hidden="false" customHeight="false" outlineLevel="0" collapsed="false">
      <c r="A165" s="8"/>
      <c r="B165" s="8"/>
      <c r="C165" s="8"/>
      <c r="D165" s="8"/>
      <c r="E165" s="8"/>
    </row>
    <row r="166" customFormat="false" ht="15" hidden="false" customHeight="false" outlineLevel="0" collapsed="false">
      <c r="A166" s="8"/>
      <c r="B166" s="8"/>
      <c r="C166" s="8"/>
      <c r="D166" s="8"/>
      <c r="E166" s="8"/>
    </row>
  </sheetData>
  <mergeCells count="5">
    <mergeCell ref="B3:D3"/>
    <mergeCell ref="B73:D73"/>
    <mergeCell ref="B80:D80"/>
    <mergeCell ref="B90:D90"/>
    <mergeCell ref="B153:F153"/>
  </mergeCells>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2026-04-18T00:30:12Z</dcterms:created>
  <dc:creator>Tamara Berríos</dc:creator>
  <dc:description/>
  <dc:language>en-US</dc:language>
  <cp:lastModifiedBy>nicolas.rodriguez@byd.com</cp:lastModifiedBy>
  <dcterms:modified xsi:type="dcterms:W3CDTF">2026-08-07T18:34:52Z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